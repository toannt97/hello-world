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 activeTab="1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</sheets>
  <functionGroups builtInGroupCount="17"/>
  <externalReferences>
    <externalReference r:id="rId6"/>
  </externalReferences>
  <definedNames>
    <definedName name="_xlnm._FilterDatabase" localSheetId="0" hidden="1">'Weekly Track'!$A$2:$S$27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Track'!$G$2:$Q$27</definedName>
    <definedName name="Z_02EA41C7_FDA0_4098_B582_B7178000E158_.wvu.FilterData" localSheetId="0" hidden="1">'Weekly Track'!$G$2:$Q$27</definedName>
    <definedName name="Z_04982118_2F11_4457_9ABB_74A35145DAA3_.wvu.FilterData" localSheetId="0" hidden="1">'Weekly Track'!$G$2:$Q$27</definedName>
    <definedName name="Z_051D1CA9_AD3E_4268_8658_F8950473509F_.wvu.FilterData" localSheetId="0" hidden="1">'Weekly Track'!$A$2:$S$27</definedName>
    <definedName name="Z_0521475F_1811_4872_9395_60AAC50C2DCD_.wvu.FilterData" localSheetId="0" hidden="1">'Weekly Track'!$G$2:$Q$27</definedName>
    <definedName name="Z_0550C95A_6F64_4305_985F_E66614A579E0_.wvu.FilterData" localSheetId="0" hidden="1">'Weekly Track'!$G$2:$Q$27</definedName>
    <definedName name="Z_0619FF23_1DA1_4B1F_A482_0BADCA11BA8B_.wvu.FilterData" localSheetId="0" hidden="1">'Weekly Track'!$G$2:$Q$27</definedName>
    <definedName name="Z_08933C08_013F_421B_8581_A823B4AC505C_.wvu.FilterData" localSheetId="0" hidden="1">'Weekly Track'!$G$2:$Q$27</definedName>
    <definedName name="Z_090E3E51_0A72_4992_B1E9_190EFFE37BA4_.wvu.FilterData" localSheetId="0" hidden="1">'Weekly Track'!$G$2:$Q$27</definedName>
    <definedName name="Z_0A8A44BC_FA6E_44CD_94F6_F4BD52D3D8DF_.wvu.FilterData" localSheetId="0" hidden="1">'Weekly Track'!$A$2:$S$2</definedName>
    <definedName name="Z_0ACCE16F_8973_46F8_AAF1_DE3AA25B49CA_.wvu.FilterData" localSheetId="0" hidden="1">'Weekly Track'!$G$2:$Q$27</definedName>
    <definedName name="Z_0C8FC9E8_962B_430A_9708_BA9779ACBFED_.wvu.FilterData" localSheetId="0" hidden="1">'Weekly Track'!$G$2:$Q$27</definedName>
    <definedName name="Z_0C92B64B_A181_4045_84D2_0A363414021A_.wvu.FilterData" localSheetId="0" hidden="1">'Weekly Track'!$G$2:$Q$27</definedName>
    <definedName name="Z_0CFE29FB_CCEA_41DD_9A7F_7D1DF131DE2E_.wvu.FilterData" localSheetId="0" hidden="1">'Weekly Track'!$G$2:$Q$27</definedName>
    <definedName name="Z_0D0AC848_C91D_4CB1_8E85_4269B6A1E780_.wvu.FilterData" localSheetId="0" hidden="1">'Weekly Track'!$G$2:$Q$27</definedName>
    <definedName name="Z_0DBCCFC4_7B8A_480C_AC47_B992895D03C7_.wvu.FilterData" localSheetId="0" hidden="1">'Weekly Track'!$G$2:$Q$27</definedName>
    <definedName name="Z_0DC96FD1_705B_4E19_BCF6_CE3C3114C104_.wvu.FilterData" localSheetId="0" hidden="1">'Weekly Track'!$G$2:$Q$27</definedName>
    <definedName name="Z_1023276B_D2FF_4601_9DD5_8C3826F1A449_.wvu.FilterData" localSheetId="0" hidden="1">'Weekly Track'!$A$2:$S$27</definedName>
    <definedName name="Z_1185EBAB_7905_48AA_9180_57248D809106_.wvu.FilterData" localSheetId="0" hidden="1">'Weekly Track'!$G$2:$Q$27</definedName>
    <definedName name="Z_11E4FD6A_5D86_4473_8EB0_4957AEE53AA7_.wvu.FilterData" localSheetId="0" hidden="1">'Weekly Track'!$G$2:$Q$27</definedName>
    <definedName name="Z_11F47DB9_1ACE_4957_816A_14EEC3ADEF1C_.wvu.FilterData" localSheetId="0" hidden="1">'Weekly Track'!$A$2:$S$2</definedName>
    <definedName name="Z_133CA8B9_7F79_42A1_A25E_4EBC53F1D741_.wvu.FilterData" localSheetId="0" hidden="1">'Weekly Track'!$G$2:$Q$27</definedName>
    <definedName name="Z_1420515F_7E6E_4C3A_89C7_13E1FD805E06_.wvu.FilterData" localSheetId="0" hidden="1">'Weekly Track'!$D$2:$P$12</definedName>
    <definedName name="Z_147E44D9_E4FC_4482_87E3_B633F9B273D0_.wvu.FilterData" localSheetId="0" hidden="1">'Weekly Track'!$G$2:$O$27</definedName>
    <definedName name="Z_19804A3E_778D_4D91_B608_5ADAAF85C496_.wvu.FilterData" localSheetId="0" hidden="1">'Weekly Track'!$G$2:$Q$27</definedName>
    <definedName name="Z_19E79368_E7AE_480A_97F2_13710EB0110D_.wvu.FilterData" localSheetId="0" hidden="1">'Weekly Track'!$G$2:$Q$27</definedName>
    <definedName name="Z_1A3EFEFF_0748_49A0_9110_27918F89CB6D_.wvu.FilterData" localSheetId="0" hidden="1">'Weekly Track'!$G$2:$Q$27</definedName>
    <definedName name="Z_1B46AEB0_1A57_4C64_931A_F918F8CB5087_.wvu.FilterData" localSheetId="0" hidden="1">'Weekly Track'!$G$2:$Q$27</definedName>
    <definedName name="Z_1D2BA0AD_06E1_4866_964D_5E7004F16B17_.wvu.FilterData" localSheetId="0" hidden="1">'Weekly Track'!$G$2:$Q$27</definedName>
    <definedName name="Z_1E130549_9959_4252_A688_64524F9DE6ED_.wvu.FilterData" localSheetId="0" hidden="1">'Weekly Track'!$G$2:$Q$27</definedName>
    <definedName name="Z_1E1837AC_6500_412C_AC8B_145E792BD927_.wvu.FilterData" localSheetId="0" hidden="1">'Weekly Track'!$G$2:$Q$27</definedName>
    <definedName name="Z_204702EF_163B_47DB_97CC_AFCA7FC2DCCB_.wvu.FilterData" localSheetId="0" hidden="1">'Weekly Track'!$G$2:$Q$27</definedName>
    <definedName name="Z_21947B16_03DB_420E_A067_52012B011E5B_.wvu.FilterData" localSheetId="0" hidden="1">'Weekly Track'!$G$2:$Q$27</definedName>
    <definedName name="Z_21E79811_7AAF_43B9_9450_5F40BC87E44A_.wvu.FilterData" localSheetId="0" hidden="1">'Weekly Track'!$G$2:$Q$27</definedName>
    <definedName name="Z_21EA2887_F0F4_49B3_9FD4_E1E36A59A832_.wvu.FilterData" localSheetId="0" hidden="1">'Weekly Track'!$G$2:$Q$27</definedName>
    <definedName name="Z_21F882C6_CF86_4076_9613_A574329082AB_.wvu.FilterData" localSheetId="0" hidden="1">'Weekly Track'!$G$2:$Q$27</definedName>
    <definedName name="Z_221227E4_5837_4474_928D_3B123C1FAB43_.wvu.FilterData" localSheetId="0" hidden="1">'Weekly Track'!$A$2:$S$2</definedName>
    <definedName name="Z_235E86D7_1998_4E74_BA88_032387AAEB7D_.wvu.FilterData" localSheetId="0" hidden="1">'Weekly Track'!$G$2:$Q$27</definedName>
    <definedName name="Z_240C286B_DB1E_4FFF_98C7_CE2B8E56FAEA_.wvu.FilterData" localSheetId="0" hidden="1">'Weekly Track'!$G$2:$Q$27</definedName>
    <definedName name="Z_249B7347_A17D_411F_A78E_371D578D95CC_.wvu.FilterData" localSheetId="0" hidden="1">'Weekly Track'!$G$2:$Q$27</definedName>
    <definedName name="Z_27DE5733_61ED_41EE_A69B_8BAB0CE5077A_.wvu.FilterData" localSheetId="0" hidden="1">'Weekly Track'!$G$2:$Q$27</definedName>
    <definedName name="Z_28579E25_F775_48E1_98C2_206BE5E524FE_.wvu.FilterData" localSheetId="0" hidden="1">'Weekly Track'!$D$2:$P$12</definedName>
    <definedName name="Z_292CF9DA_146F_4228_9ED5_AA953B7BADDC_.wvu.FilterData" localSheetId="0" hidden="1">'Weekly Track'!$G$2:$Q$27</definedName>
    <definedName name="Z_2AE8B063_C008_4732_B9E1_C08540CEC936_.wvu.FilterData" localSheetId="0" hidden="1">'Weekly Track'!$G$2:$Q$27</definedName>
    <definedName name="Z_2B0AEC04_2208_40C7_A990_2E64D5BC84BC_.wvu.FilterData" localSheetId="0" hidden="1">'Weekly Track'!$G$2:$Q$27</definedName>
    <definedName name="Z_2B94E893_B9F9_4D8D_A6EC_C1620352A1E5_.wvu.FilterData" localSheetId="0" hidden="1">'Weekly Track'!$G$2:$Q$27</definedName>
    <definedName name="Z_2D6714CF_6449_4BE4_ABCF_EDD75EE725B9_.wvu.FilterData" localSheetId="0" hidden="1">'Weekly Track'!$A$2:$S$2</definedName>
    <definedName name="Z_314F1405_BCA7_462C_A888_7EF5EBD97E41_.wvu.FilterData" localSheetId="0" hidden="1">'Weekly Track'!$G$2:$Q$27</definedName>
    <definedName name="Z_326C8FC0_2E8F_4B44_A850_D864A733491F_.wvu.FilterData" localSheetId="0" hidden="1">'Weekly Track'!$G$2:$Q$27</definedName>
    <definedName name="Z_32B057F2_AD17_49DD_8F81_8E9DE3B9727F_.wvu.FilterData" localSheetId="0" hidden="1">'Weekly Track'!$A$2:$S$27</definedName>
    <definedName name="Z_32B3CDDE_1894_4040_86AB_8B6DEAAC00DB_.wvu.FilterData" localSheetId="0" hidden="1">'Weekly Track'!$D$2:$P$12</definedName>
    <definedName name="Z_350BD852_E525_4C08_B699_72BCDC6AA87E_.wvu.FilterData" localSheetId="0" hidden="1">'Weekly Track'!$A$2:$S$27</definedName>
    <definedName name="Z_3AB47DEE_BDDC_49B1_BC59_135C414C3348_.wvu.FilterData" localSheetId="0" hidden="1">'Weekly Track'!$G$2:$Q$27</definedName>
    <definedName name="Z_3D68303D_5E50_44AA_9745_976E940C48C6_.wvu.FilterData" localSheetId="0" hidden="1">'Weekly Track'!$D$2:$P$12</definedName>
    <definedName name="Z_3EBC3237_7050_471A_BD63_069C3642D1B2_.wvu.FilterData" localSheetId="0" hidden="1">'Weekly Track'!$G$2:$Q$27</definedName>
    <definedName name="Z_3F61DDB4_5C20_4C58_BC97_8AB8F529FFA8_.wvu.FilterData" localSheetId="0" hidden="1">'Weekly Track'!$A$2:$S$27</definedName>
    <definedName name="Z_4089CAC6_B2CF_429C_8818_EC52E320D08A_.wvu.FilterData" localSheetId="0" hidden="1">'Weekly Track'!$D$2:$P$12</definedName>
    <definedName name="Z_409B0F44_3186_4213_8768_12D5F380C844_.wvu.FilterData" localSheetId="0" hidden="1">'Weekly Track'!$G$2:$Q$27</definedName>
    <definedName name="Z_427FE646_5D59_4038_866F_48BE8DFAF21D_.wvu.FilterData" localSheetId="0" hidden="1">'Weekly Track'!$D$2:$P$12</definedName>
    <definedName name="Z_44117B2C_C61F_437C_A9C5_65A80C2AE348_.wvu.FilterData" localSheetId="0" hidden="1">'Weekly Track'!$G$2:$Q$27</definedName>
    <definedName name="Z_467EAE63_0D62_43B4_9E5B_4DED4A9D0236_.wvu.FilterData" localSheetId="0" hidden="1">'Weekly Track'!$G$2:$Q$27</definedName>
    <definedName name="Z_476398F1_D58F_4CE6_BEA5_3F7BF8A8FFFB_.wvu.FilterData" localSheetId="0" hidden="1">'Weekly Track'!$G$2:$Q$27</definedName>
    <definedName name="Z_496B1B49_F920_48C1_B26E_9A1F4E6E5157_.wvu.FilterData" localSheetId="0" hidden="1">'Weekly Track'!$D$2:$P$12</definedName>
    <definedName name="Z_4A609050_BAFC_4F83_AA06_684ED0391BEC_.wvu.FilterData" localSheetId="0" hidden="1">'Weekly Track'!$G$2:$Q$27</definedName>
    <definedName name="Z_4A749D27_40AD_4A0F_BF83_5B811DC1C678_.wvu.FilterData" localSheetId="0" hidden="1">'Weekly Track'!$G$2:$Q$27</definedName>
    <definedName name="Z_4E04FC2D_BCD1_4283_9D4C_078BB0C587C4_.wvu.FilterData" localSheetId="0" hidden="1">'Weekly Track'!$G$2:$Q$27</definedName>
    <definedName name="Z_4EB27A75_F2D3_4A1F_9A2D_B50F0E4F43E1_.wvu.FilterData" localSheetId="0" hidden="1">'Weekly Track'!$G$2:$Q$27</definedName>
    <definedName name="Z_4FDA3C8C_2A48_416C_AA66_16E8E291C87E_.wvu.FilterData" localSheetId="0" hidden="1">'Weekly Track'!$A$2:$S$2</definedName>
    <definedName name="Z_502081BD_CEE0_4206_97EA_C06712708CF3_.wvu.FilterData" localSheetId="0" hidden="1">'Weekly Track'!$G$2:$Q$27</definedName>
    <definedName name="Z_50851BF0_3D6A_4ABC_AE6E_C5F6BA755715_.wvu.FilterData" localSheetId="0" hidden="1">'Weekly Track'!$A$2:$S$27</definedName>
    <definedName name="Z_50FFBA47_E221_4143_975E_6534E8666EFA_.wvu.FilterData" localSheetId="0" hidden="1">'Weekly Track'!$G$2:$Q$27</definedName>
    <definedName name="Z_521319B0_70C9_478D_B877_6AE94F61BBA5_.wvu.FilterData" localSheetId="0" hidden="1">'Weekly Track'!$A$2:$S$2</definedName>
    <definedName name="Z_52646C22_009A_42DB_9645_9B1CCBC06272_.wvu.FilterData" localSheetId="0" hidden="1">'Weekly Track'!$G$2:$Q$27</definedName>
    <definedName name="Z_53B0B031_4890_42BB_8C05_7C33DB48BCAF_.wvu.FilterData" localSheetId="0" hidden="1">'Weekly Track'!$G$2:$Q$27</definedName>
    <definedName name="Z_5505F1F1_88B7_4C1A_A235_B77DACA12021_.wvu.FilterData" localSheetId="0" hidden="1">'Weekly Track'!$G$2:$Q$27</definedName>
    <definedName name="Z_553DCE70_E6A3_437B_8275_434BFC1E8E5D_.wvu.FilterData" localSheetId="0" hidden="1">'Weekly Track'!$G$2:$Q$27</definedName>
    <definedName name="Z_57664585_C170_42FA_8A00_6B3C090AED91_.wvu.FilterData" localSheetId="0" hidden="1">'Weekly Track'!$G$2:$Q$27</definedName>
    <definedName name="Z_5AAB0302_C818_4ED7_B430_DC730A4BE164_.wvu.FilterData" localSheetId="0" hidden="1">'Weekly Track'!$G$2:$Q$27</definedName>
    <definedName name="Z_5BDD104E_85B6_4C19_82C5_56C90DAA5515_.wvu.FilterData" localSheetId="0" hidden="1">'Weekly Track'!$G$2:$Q$27</definedName>
    <definedName name="Z_5DC62200_E966_42EC_876C_0B719896BF62_.wvu.FilterData" localSheetId="0" hidden="1">'Weekly Track'!$D$2:$P$12</definedName>
    <definedName name="Z_620DCB69_5E7F_4AA5_BB27_84CB099BE8DF_.wvu.FilterData" localSheetId="0" hidden="1">'Weekly Track'!$G$2:$Q$27</definedName>
    <definedName name="Z_6226B060_09CB_4B2B_A198_007095FE3067_.wvu.FilterData" localSheetId="0" hidden="1">'Weekly Track'!$G$2:$Q$27</definedName>
    <definedName name="Z_63BBB3C8_2BBD_47A9_8577_895E120CF491_.wvu.FilterData" localSheetId="0" hidden="1">'Weekly Track'!$A$2:$S$27</definedName>
    <definedName name="Z_640D93D1_5B1F_4BE9_88ED_E1402D87B4F6_.wvu.FilterData" localSheetId="0" hidden="1">'Weekly Track'!$G$2:$Q$27</definedName>
    <definedName name="Z_654B7EBC_CC1B_4240_A240_724CFFA935E8_.wvu.FilterData" localSheetId="0" hidden="1">'Weekly Track'!$G$2:$Q$27</definedName>
    <definedName name="Z_666C6E84_C39F_4FE4_8250_CCDB1379FB7B_.wvu.FilterData" localSheetId="0" hidden="1">'Weekly Track'!$G$2:$Q$27</definedName>
    <definedName name="Z_66AA5AAA_E54D_4A50_AB0E_D892E8DA9C76_.wvu.FilterData" localSheetId="0" hidden="1">'Weekly Track'!$A$2:$S$2</definedName>
    <definedName name="Z_6765FBE4_42BF_4A6A_9B53_DC4D86B53E33_.wvu.FilterData" localSheetId="0" hidden="1">'Weekly Track'!$A$2:$S$2</definedName>
    <definedName name="Z_694005FD_C9F0_4198_8BAC_74BD82F47529_.wvu.FilterData" localSheetId="0" hidden="1">'Weekly Track'!$G$2:$Q$27</definedName>
    <definedName name="Z_6ABFDB73_A4FC_493C_A504_1276E731333B_.wvu.FilterData" localSheetId="0" hidden="1">'Weekly Track'!$D$2:$P$12</definedName>
    <definedName name="Z_6AC162AB_41FA_41FC_98A6_92A30FDBFE79_.wvu.FilterData" localSheetId="0" hidden="1">'Weekly Track'!$G$2:$Q$27</definedName>
    <definedName name="Z_726ABC29_762D_4EB0_A3C4_BEA5D31437A5_.wvu.FilterData" localSheetId="0" hidden="1">'Weekly Track'!$A$2:$S$27</definedName>
    <definedName name="Z_73565361_97F7_42F4_837A_37945610F80B_.wvu.FilterData" localSheetId="0" hidden="1">'Weekly Track'!$A$2:$S$2</definedName>
    <definedName name="Z_780A9B63_A10D_441C_98D5_E508127FB8F3_.wvu.FilterData" localSheetId="0" hidden="1">'Weekly Track'!$G$2:$Q$27</definedName>
    <definedName name="Z_788C6CF5_F77E_4D9C_BA96_5155E5E0E952_.wvu.FilterData" localSheetId="0" hidden="1">'Weekly Track'!$G$2:$Q$27</definedName>
    <definedName name="Z_797EC7E4_CD0B_440B_9831_AF91BE966163_.wvu.FilterData" localSheetId="0" hidden="1">'Weekly Track'!$G$2:$Q$27</definedName>
    <definedName name="Z_7A8039F4_2212_481C_8239_0D5DB6EAD15B_.wvu.FilterData" localSheetId="0" hidden="1">'Weekly Track'!$G$2:$Q$27</definedName>
    <definedName name="Z_7AC9EE31_E3C8_43A5_8490_C2342F28991D_.wvu.FilterData" localSheetId="0" hidden="1">'Weekly Track'!$A$2:$S$27</definedName>
    <definedName name="Z_7C7EFD68_65AB_43CC_9DA7_E16ECE7699E1_.wvu.FilterData" localSheetId="0" hidden="1">'Weekly Track'!$G$2:$Q$27</definedName>
    <definedName name="Z_7D5872EC_CC8E_479C_9529_4DF3E5164B5A_.wvu.FilterData" localSheetId="0" hidden="1">'Weekly Track'!$G$2:$Q$27</definedName>
    <definedName name="Z_7D59B872_BCED_4C65_AEE9_D3778DF325C0_.wvu.FilterData" localSheetId="0" hidden="1">'Weekly Track'!$G$2:$Q$27</definedName>
    <definedName name="Z_7E427091_283A_453B_94EB_2B448709C24B_.wvu.FilterData" localSheetId="0" hidden="1">'Weekly Track'!$G$2:$Q$27</definedName>
    <definedName name="Z_7F66006F_FB22_4A18_9D2F_3D56262D463D_.wvu.FilterData" localSheetId="0" hidden="1">'Weekly Track'!$D$2:$P$12</definedName>
    <definedName name="Z_7F7D6C57_8D32_42DD_83C8_C1398964CBF2_.wvu.FilterData" localSheetId="0" hidden="1">'Weekly Track'!$D$2:$P$12</definedName>
    <definedName name="Z_853418B4_E9D6_4704_AD48_F14C569ECDEF_.wvu.FilterData" localSheetId="0" hidden="1">'Weekly Track'!$A$2:$S$2</definedName>
    <definedName name="Z_884E568E_7343_4553_8712_275BBBAFF28F_.wvu.FilterData" localSheetId="0" hidden="1">'Weekly Track'!$G$2:$Q$27</definedName>
    <definedName name="Z_88FC1F8F_0FEC_4714_9F1F_6E349F5436F0_.wvu.FilterData" localSheetId="0" hidden="1">'Weekly Track'!$A$2:$S$27</definedName>
    <definedName name="Z_8958DFB7_7BE8_4D56_8719_4AD78CB186A4_.wvu.FilterData" localSheetId="0" hidden="1">'Weekly Track'!$G$2:$Q$27</definedName>
    <definedName name="Z_8C47ADE1_7CA3_4AB3_A749_547B18615B1D_.wvu.FilterData" localSheetId="0" hidden="1">'Weekly Track'!$A$2:$S$27</definedName>
    <definedName name="Z_8C651643_9E78_41F2_AF30_BD1024ADB479_.wvu.FilterData" localSheetId="0" hidden="1">'Weekly Track'!$G$2:$Q$27</definedName>
    <definedName name="Z_8E799CBD_C384_4591_AAAA_7C97051C518B_.wvu.FilterData" localSheetId="0" hidden="1">'Weekly Track'!$D$2:$P$12</definedName>
    <definedName name="Z_8E81DB7D_5255_4329_86A9_BF2D25E22C07_.wvu.FilterData" localSheetId="0" hidden="1">'Weekly Track'!$G$2:$Q$27</definedName>
    <definedName name="Z_8EE48057_80AB_4D49_9FEE_65CF78F2A246_.wvu.Cols" localSheetId="0" hidden="1">'Weekly Track'!#REF!</definedName>
    <definedName name="Z_8EE48057_80AB_4D49_9FEE_65CF78F2A246_.wvu.FilterData" localSheetId="0" hidden="1">'Weekly Track'!$G$2:$O$27</definedName>
    <definedName name="Z_9097B049_B8A1_47E8_B9D6_933A68E76A04_.wvu.FilterData" localSheetId="0" hidden="1">'Weekly Track'!$G$2:$Q$27</definedName>
    <definedName name="Z_9099418D_E49E_4572_BCBA_F1DE53B5DFAB_.wvu.FilterData" localSheetId="0" hidden="1">'Weekly Track'!$D$2:$P$12</definedName>
    <definedName name="Z_90C6E1F8_625E_4B5A_AFC2_1DC93F92945E_.wvu.FilterData" localSheetId="0" hidden="1">'Weekly Track'!$G$2:$Q$27</definedName>
    <definedName name="Z_922AB552_6261_4FA7_B869_997473E47F93_.wvu.FilterData" localSheetId="0" hidden="1">'Weekly Track'!$G$2:$Q$27</definedName>
    <definedName name="Z_948BBEF2_7CA4_4FE3_8D7C_CD66507DC2A6_.wvu.FilterData" localSheetId="0" hidden="1">'Weekly Track'!$G$2:$Q$27</definedName>
    <definedName name="Z_9880E37A_7D7F_41BF_A261_81D6A4E6F3DC_.wvu.FilterData" localSheetId="0" hidden="1">'Weekly Track'!$G$2:$Q$27</definedName>
    <definedName name="Z_98CFB866_B433_4300_A81E_F82D1789396D_.wvu.FilterData" localSheetId="0" hidden="1">'Weekly Track'!$G$2:$Q$27</definedName>
    <definedName name="Z_98F824F9_684A_4D23_A9AD_D2FE4037DB45_.wvu.FilterData" localSheetId="0" hidden="1">'Weekly Track'!$G$2:$Q$27</definedName>
    <definedName name="Z_99666B57_35DB_4648_81B6_037A8D3A1A73_.wvu.FilterData" localSheetId="0" hidden="1">'Weekly Track'!$G$2:$Q$27</definedName>
    <definedName name="Z_99E003D1_2858_414D_97CB_647C69C5219A_.wvu.FilterData" localSheetId="0" hidden="1">'Weekly Track'!$G$2:$Q$27</definedName>
    <definedName name="Z_9A961F82_BA98_4BD1_A8A6_7B20E3B37A31_.wvu.FilterData" localSheetId="0" hidden="1">'Weekly Track'!$D$2:$P$12</definedName>
    <definedName name="Z_9AAEA13D_7403_4D31_B0AC_5F72ECD726A7_.wvu.FilterData" localSheetId="0" hidden="1">'Weekly Track'!$G$2:$Q$27</definedName>
    <definedName name="Z_9B4C80D5_E114_4A0C_A60E_7AD5BDB25DAD_.wvu.FilterData" localSheetId="0" hidden="1">'Weekly Track'!$G$2:$Q$27</definedName>
    <definedName name="Z_9B6049CB_74F7_4A4B_BDEE_129DA6BA93C7_.wvu.Cols" localSheetId="0" hidden="1">'Weekly Track'!$R:$R</definedName>
    <definedName name="Z_9B6049CB_74F7_4A4B_BDEE_129DA6BA93C7_.wvu.FilterData" localSheetId="0" hidden="1">'Weekly Track'!$G$2:$Q$27</definedName>
    <definedName name="Z_9B985974_4396_454C_A12F_FF1554871ECC_.wvu.FilterData" localSheetId="0" hidden="1">'Weekly Track'!$G$2:$Q$27</definedName>
    <definedName name="Z_9ED9FB8C_A729_41EA_935E_82445338FD31_.wvu.FilterData" localSheetId="0" hidden="1">'Weekly Track'!$G$2:$Q$27</definedName>
    <definedName name="Z_9F3FCB48_CA56_4627_B71E_7DF27A1496A6_.wvu.FilterData" localSheetId="0" hidden="1">'Weekly Track'!$G$2:$Q$27</definedName>
    <definedName name="Z_9F84B7D2_F3C8_4BAE_AE0E_88FEE694C1C7_.wvu.FilterData" localSheetId="0" hidden="1">'Weekly Track'!$G$2:$Q$27</definedName>
    <definedName name="Z_9FB47601_740A_45F2_96E9_8207BD910FF6_.wvu.FilterData" localSheetId="0" hidden="1">'Weekly Track'!$G$2:$Q$27</definedName>
    <definedName name="Z_A0179960_2037_454D_BA81_E315A8E16A3A_.wvu.FilterData" localSheetId="0" hidden="1">'Weekly Track'!$G$2:$Q$27</definedName>
    <definedName name="Z_A0B8813F_FB85_4F55_970E_D7F10357FC7D_.wvu.FilterData" localSheetId="0" hidden="1">'Weekly Track'!$G$2:$Q$27</definedName>
    <definedName name="Z_A2080E54_FD29_441F_9227_7BEE1E9BC4D3_.wvu.FilterData" localSheetId="0" hidden="1">'Weekly Track'!$A$2:$S$27</definedName>
    <definedName name="Z_A3F6280D_FBD4_4E9E_B2A1_D7CA8E964D5E_.wvu.FilterData" localSheetId="0" hidden="1">'Weekly Track'!$G$2:$Q$27</definedName>
    <definedName name="Z_A521652D_57C6_4292_A79A_663908B7FF11_.wvu.FilterData" localSheetId="0" hidden="1">'Weekly Track'!$G$2:$Q$27</definedName>
    <definedName name="Z_A61DB6F3_7F7E_4FA7_B5E5_92EFF79BD062_.wvu.FilterData" localSheetId="0" hidden="1">'Weekly Track'!$G$2:$Q$27</definedName>
    <definedName name="Z_A81E9BDA_5224_46BD_A581_52BDFFC2E84A_.wvu.FilterData" localSheetId="0" hidden="1">'Weekly Track'!$G$2:$Q$27</definedName>
    <definedName name="Z_AA922F2C_AFF4_4AF1_B7C8_5E01AD8754D3_.wvu.FilterData" localSheetId="0" hidden="1">'Weekly Track'!$G$2:$Q$27</definedName>
    <definedName name="Z_AA95CC58_7156_4B7F_9252_D7F790CBF737_.wvu.FilterData" localSheetId="0" hidden="1">'Weekly Track'!$G$2:$Q$27</definedName>
    <definedName name="Z_ABB931E3_94CD_4E27_B416_B409D8637F8B_.wvu.FilterData" localSheetId="0" hidden="1">'Weekly Track'!$A$2:$S$2</definedName>
    <definedName name="Z_ABF22925_73EE_4CC7_838C_F88559BC7297_.wvu.FilterData" localSheetId="0" hidden="1">'Weekly Track'!$A$2:$S$2</definedName>
    <definedName name="Z_AF5727B1_2266_4398_ADA1_1E0C5ED7DF74_.wvu.FilterData" localSheetId="0" hidden="1">'Weekly Track'!$D$2:$P$12</definedName>
    <definedName name="Z_B77A1629_4AEB_4937_9310_109A39C410C1_.wvu.FilterData" localSheetId="0" hidden="1">'Weekly Track'!$G$2:$Q$27</definedName>
    <definedName name="Z_B7DB9A62_7DA6_4C3D_8531_2A7B06C7DD11_.wvu.FilterData" localSheetId="0" hidden="1">'Weekly Track'!$G$2:$Q$27</definedName>
    <definedName name="Z_B88DF1D2_8735_4031_8120_F9860FFA0E9B_.wvu.FilterData" localSheetId="0" hidden="1">'Weekly Track'!$A$2:$S$2</definedName>
    <definedName name="Z_B8FB12DE_FAC7_4E7D_A4EE_9C02BFE537F5_.wvu.FilterData" localSheetId="0" hidden="1">'Weekly Track'!$G$2:$Q$27</definedName>
    <definedName name="Z_B989351D_DCA1_4032_A2A6_AC256C05AEAF_.wvu.FilterData" localSheetId="0" hidden="1">'Weekly Track'!$G$2:$Q$27</definedName>
    <definedName name="Z_B99D72B6_D62B_4086_BD8B_B2A86C5E312A_.wvu.FilterData" localSheetId="0" hidden="1">'Weekly Track'!$G$2:$Q$27</definedName>
    <definedName name="Z_BA680C88_7FC3_49C3_AA14_74432754B497_.wvu.FilterData" localSheetId="0" hidden="1">'Weekly Track'!$G$2:$Q$27</definedName>
    <definedName name="Z_BE1EB5BE_BF65_4209_889D_D3926960808F_.wvu.FilterData" localSheetId="0" hidden="1">'Weekly Track'!$G$2:$Q$27</definedName>
    <definedName name="Z_BEFC3343_FB9A_4649_B915_C0482DDC238F_.wvu.FilterData" localSheetId="0" hidden="1">'Weekly Track'!$G$2:$Q$27</definedName>
    <definedName name="Z_BF760E7C_5DEA_4966_A8B5_4F114907B053_.wvu.FilterData" localSheetId="0" hidden="1">'Weekly Track'!$D$2:$P$12</definedName>
    <definedName name="Z_C04FD524_FA0C_4C41_A249_FB149D6DB51F_.wvu.FilterData" localSheetId="0" hidden="1">'Weekly Track'!$D$2:$P$12</definedName>
    <definedName name="Z_C16D780F_3D28_4EAA_BC68_55D205FF9B92_.wvu.FilterData" localSheetId="0" hidden="1">'Weekly Track'!$D$2:$P$12</definedName>
    <definedName name="Z_C299741A_2767_4386_B3AB_D78380E83C22_.wvu.FilterData" localSheetId="0" hidden="1">'Weekly Track'!$G$2:$Q$27</definedName>
    <definedName name="Z_C55B95B2_4161_4E6D_8703_1A83FF9F95D4_.wvu.FilterData" localSheetId="0" hidden="1">'Weekly Track'!$A$2:$S$27</definedName>
    <definedName name="Z_C5A9988D_1B2A_4000_96B6_74A42EEB5B4A_.wvu.FilterData" localSheetId="0" hidden="1">'Weekly Track'!$G$2:$Q$27</definedName>
    <definedName name="Z_C8D2B860_A4BF_479A_918A_6691F37A8842_.wvu.FilterData" localSheetId="0" hidden="1">'Weekly Track'!$G$2:$Q$27</definedName>
    <definedName name="Z_C9CAA6D6_DECB_45D4_A0D4_C6F3F9839A27_.wvu.FilterData" localSheetId="0" hidden="1">'Weekly Track'!$G$2:$O$27</definedName>
    <definedName name="Z_CBAA7D8B_D486_41DF_B6D0_D71293163E33_.wvu.FilterData" localSheetId="0" hidden="1">'Weekly Track'!$G$2:$Q$27</definedName>
    <definedName name="Z_CC2FDD00_39B6_4F48_B29E_1D65B5F70B24_.wvu.FilterData" localSheetId="0" hidden="1">'Weekly Track'!$D$2:$P$12</definedName>
    <definedName name="Z_CCE3E0A0_186D_43C8_A372_8675AE0A31F9_.wvu.FilterData" localSheetId="0" hidden="1">'Weekly Track'!$G$2:$Q$27</definedName>
    <definedName name="Z_CD5AC431_FCE1_464A_B43D_635D0D337D0E_.wvu.FilterData" localSheetId="0" hidden="1">'Weekly Track'!$A$2:$S$27</definedName>
    <definedName name="Z_CE9F12C2_A546_4090_8B7F_DDD8AB955155_.wvu.FilterData" localSheetId="0" hidden="1">'Weekly Track'!$G$2:$Q$27</definedName>
    <definedName name="Z_CFB8BCB3_635A_4767_8A0A_B09C2AAFD02A_.wvu.FilterData" localSheetId="0" hidden="1">'Weekly Track'!$G$2:$Q$27</definedName>
    <definedName name="Z_D23C8D4A_D742_4932_8338_357F5209676C_.wvu.FilterData" localSheetId="0" hidden="1">'Weekly Track'!$G$2:$Q$27</definedName>
    <definedName name="Z_D3105A8A_F7D7_424A_986E_2376EC736EEA_.wvu.FilterData" localSheetId="0" hidden="1">'Weekly Track'!$G$2:$Q$27</definedName>
    <definedName name="Z_D3263304_FC11_4DA1_B98A_ED59C4269186_.wvu.FilterData" localSheetId="0" hidden="1">'Weekly Track'!$G$2:$Q$27</definedName>
    <definedName name="Z_D570678A_8A0A_41B9_A404_BD01C873A4B9_.wvu.FilterData" localSheetId="0" hidden="1">'Weekly Track'!$G$2:$Q$27</definedName>
    <definedName name="Z_D62F9D95_A79A_418D_B136_91BB3E5617AC_.wvu.FilterData" localSheetId="0" hidden="1">'Weekly Track'!$G$2:$Q$27</definedName>
    <definedName name="Z_D7251DD3_1204_43B7_B83A_C7383A205910_.wvu.FilterData" localSheetId="0" hidden="1">'Weekly Track'!$A$2:$S$2</definedName>
    <definedName name="Z_DCE9C236_9567_4ECA_96FC_D80F4DBD3B82_.wvu.FilterData" localSheetId="0" hidden="1">'Weekly Track'!$G$2:$Q$27</definedName>
    <definedName name="Z_DD3B93AE_D50C_4177_8673_6846A12A042B_.wvu.FilterData" localSheetId="0" hidden="1">'Weekly Track'!$G$2:$Q$27</definedName>
    <definedName name="Z_DEE575E8_89F5_4E5D_B9C1_E62677C6105A_.wvu.FilterData" localSheetId="0" hidden="1">'Weekly Track'!$G$2:$Q$27</definedName>
    <definedName name="Z_DFA7576E_9AE4_4510_A498_04C301206E9B_.wvu.FilterData" localSheetId="0" hidden="1">'Weekly Track'!$G$2:$Q$27</definedName>
    <definedName name="Z_E0140599_DC56_446E_B83D_D29EB47F3438_.wvu.FilterData" localSheetId="0" hidden="1">'Weekly Track'!$G$2:$Q$27</definedName>
    <definedName name="Z_E14BBACC_D68F_41DD_9C86_B0D798A5B788_.wvu.FilterData" localSheetId="0" hidden="1">'Weekly Track'!$G$2:$Q$27</definedName>
    <definedName name="Z_E1E1141E_F8F1_48C6_AEAE_0C5819137E91_.wvu.FilterData" localSheetId="0" hidden="1">'Weekly Track'!$G$2:$Q$27</definedName>
    <definedName name="Z_E2A5ADFB_2A67_4C55_BE85_DEF3AE67B4D4_.wvu.FilterData" localSheetId="0" hidden="1">'Weekly Track'!$G$2:$Q$27</definedName>
    <definedName name="Z_E3A67C25_DA9F_4098_8BCB_EDBB79C75A9B_.wvu.FilterData" localSheetId="0" hidden="1">'Weekly Track'!$G$2:$Q$27</definedName>
    <definedName name="Z_E3BE9722_2755_4C3F_BEA4_567B30F97E3B_.wvu.FilterData" localSheetId="0" hidden="1">'Weekly Track'!$G$2:$Q$27</definedName>
    <definedName name="Z_E4EC53AA_61BA_4687_AD44_28BA0F4829AF_.wvu.FilterData" localSheetId="0" hidden="1">'Weekly Track'!$G$2:$Q$27</definedName>
    <definedName name="Z_E58C8167_852E_40E7_A5BE_A4F33595E492_.wvu.FilterData" localSheetId="0" hidden="1">'Weekly Track'!$G$2:$Q$27</definedName>
    <definedName name="Z_E5AE4E74_16AA_46B4_8FA4_200E998654ED_.wvu.FilterData" localSheetId="0" hidden="1">'Weekly Track'!$G$2:$Q$27</definedName>
    <definedName name="Z_E9A97B28_AADA_4EA6_B2EF_1133E2C7DED5_.wvu.FilterData" localSheetId="0" hidden="1">'Weekly Track'!$G$2:$Q$27</definedName>
    <definedName name="Z_EA85C444_0B77_42A7_A627_8DFAEB030A0C_.wvu.FilterData" localSheetId="0" hidden="1">'Weekly Track'!$D$2:$P$12</definedName>
    <definedName name="Z_EF4C86B4_137F_4865_AAA8_DFA18E73126C_.wvu.FilterData" localSheetId="0" hidden="1">'Weekly Track'!$D$2:$P$12</definedName>
    <definedName name="Z_F191C95B_190E_42AA_85F5_571813CB1E57_.wvu.FilterData" localSheetId="0" hidden="1">'Weekly Track'!$G$2:$Q$27</definedName>
    <definedName name="Z_F240F89F_EDAA_4096_A093_B97DCA0EC784_.wvu.FilterData" localSheetId="0" hidden="1">'Weekly Track'!$G$2:$Q$27</definedName>
    <definedName name="Z_F474B10A_E437_4056_988C_17E3A2F4C34E_.wvu.FilterData" localSheetId="0" hidden="1">'Weekly Track'!$G$2:$Q$27</definedName>
    <definedName name="Z_F523E01C_26BE_4313_8790_D25220E2323B_.wvu.FilterData" localSheetId="0" hidden="1">'Weekly Track'!$G$2:$Q$27</definedName>
    <definedName name="Z_F6F66EEC_A413_4882_BD9A_8950213B9A71_.wvu.FilterData" localSheetId="0" hidden="1">'Weekly Track'!$G$2:$O$27</definedName>
    <definedName name="Z_F9F50B6F_B9E3_4673_B42C_92343725FF07_.wvu.FilterData" localSheetId="0" hidden="1">'Weekly Track'!$A$2:$S$2</definedName>
    <definedName name="Z_FA16BC52_B899_4A28_90BD_961AD0347982_.wvu.FilterData" localSheetId="0" hidden="1">'Weekly Track'!$G$2:$Q$27</definedName>
    <definedName name="Z_FA727615_5A6E_4085_9F0A_F145AC60C7F0_.wvu.FilterData" localSheetId="0" hidden="1">'Weekly Track'!$G$2:$Q$27</definedName>
    <definedName name="Z_FA7606F9_EC11_473C_90D8_4619951DECAE_.wvu.FilterData" localSheetId="0" hidden="1">'Weekly Track'!$G$2:$Q$27</definedName>
    <definedName name="Z_FB1006D6_6890_4F3F_A4DB_DBA007A47960_.wvu.FilterData" localSheetId="0" hidden="1">'Weekly Track'!$G$2:$Q$27</definedName>
    <definedName name="Z_FF0FC2F5_0B05_45FE_BDCA_8E26A803F0BF_.wvu.FilterData" localSheetId="0" hidden="1">'Weekly Track'!$G$2:$Q$27</definedName>
    <definedName name="Z_FF2A5ECB_AB5F_4A91_97DA_132021D9C61D_.wvu.FilterData" localSheetId="0" hidden="1">'Weekly Track'!$G$2:$Q$27</definedName>
  </definedNames>
  <calcPr calcId="145621"/>
  <customWorkbookViews>
    <customWorkbookView name="Thinh Nguyen Hoang - Personal View" guid="{EF4C86B4-137F-4865-AAA8-DFA18E73126C}" mergeInterval="0" personalView="1" maximized="1" xWindow="-8" yWindow="-8" windowWidth="1936" windowHeight="1056" activeSheetId="2"/>
    <customWorkbookView name="Van Thong Chau - Personal View" guid="{C04FD524-FA0C-4C41-A249-FB149D6DB51F}" mergeInterval="0" personalView="1" maximized="1" windowWidth="1902" windowHeight="843" activeSheetId="2"/>
    <customWorkbookView name="Vinh Thuan Tran - Personal View" guid="{496B1B49-F920-48C1-B26E-9A1F4E6E5157}" mergeInterval="0" personalView="1" maximized="1" windowWidth="1916" windowHeight="855" activeSheetId="2"/>
    <customWorkbookView name="ThinhNH - Personal View" guid="{28579E25-F775-48E1-98C2-206BE5E524FE}" mergeInterval="0" personalView="1" maximized="1" windowWidth="1916" windowHeight="855" activeSheetId="2"/>
    <customWorkbookView name="w-ndnv-01 - Personal View" guid="{5DC62200-E966-42EC-876C-0B719896BF62}" mergeInterval="0" personalView="1" maximized="1" windowWidth="1920" windowHeight="854" activeSheetId="2"/>
    <customWorkbookView name="moclty - Personal View" guid="{63BBB3C8-2BBD-47A9-8577-895E120CF491}" mergeInterval="0" personalView="1" maximized="1" windowWidth="1850" windowHeight="894" activeSheetId="4"/>
    <customWorkbookView name="Le Thi Yen Moc - Personal View" guid="{C55B95B2-4161-4E6D-8703-1A83FF9F95D4}" mergeInterval="0" personalView="1" maximized="1" windowWidth="1675" windowHeight="855" activeSheetId="2"/>
    <customWorkbookView name="User - Personal View" guid="{8C47ADE1-7CA3-4AB3-A749-547B18615B1D}" mergeInterval="0" personalView="1" maximized="1" windowWidth="1858" windowHeight="893" activeSheetId="2"/>
    <customWorkbookView name="Sakakibara - Personal View" guid="{051D1CA9-AD3E-4268-8658-F8950473509F}" mergeInterval="0" personalView="1" maximized="1" windowWidth="1916" windowHeight="865" activeSheetId="2"/>
    <customWorkbookView name="Quy Nguyen Duc - Personal View" guid="{7AC9EE31-E3C8-43A5-8490-C2342F28991D}" mergeInterval="0" personalView="1" maximized="1" windowWidth="1916" windowHeight="855" activeSheetId="4"/>
    <customWorkbookView name="Thang Truong Quang - Personal View" guid="{44117B2C-C61F-437C-A9C5-65A80C2AE348}" mergeInterval="0" personalView="1" maximized="1" windowWidth="1916" windowHeight="951" activeSheetId="2"/>
    <customWorkbookView name="Nguy Trung Tai - Personal View" guid="{A521652D-57C6-4292-A79A-663908B7FF11}" mergeInterval="0" personalView="1" maximized="1" windowWidth="1916" windowHeight="835" activeSheetId="2"/>
    <customWorkbookView name="Phuong Vo - Personal View" guid="{F9F50B6F-B9E3-4673-B42C-92343725FF07}" mergeInterval="0" personalView="1" maximized="1" xWindow="1" yWindow="1" windowWidth="1287" windowHeight="461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Le Khang\VIE25738 - Personal View" guid="{4FDA3C8C-2A48-416C-AA66-16E8E291C87E}" mergeInterval="0" personalView="1" maximized="1" xWindow="1" yWindow="1" windowWidth="1366" windowHeight="54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vie25735 - Personal View" guid="{B88DF1D2-8735-4031-8120-F9860FFA0E9B}" mergeInterval="0" personalView="1" maximized="1" xWindow="1" yWindow="1" windowWidth="1366" windowHeight="513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0728/Giao Tran - Personal View" guid="{66AA5AAA-E54D-4A50-AB0E-D892E8DA9C76}" mergeInterval="0" personalView="1" maximized="1" xWindow="1" yWindow="1" windowWidth="1366" windowHeight="538" activeSheetId="1"/>
    <customWorkbookView name="DuND - Personal View" guid="{8EE48057-80AB-4D49-9FEE-65CF78F2A246}" mergeInterval="0" personalView="1" maximized="1" windowWidth="1362" windowHeight="611" activeSheetId="2"/>
    <customWorkbookView name="phuongnt - Personal View" guid="{9B6049CB-74F7-4A4B-BDEE-129DA6BA93C7}" mergeInterval="0" personalView="1" maximized="1" windowWidth="1916" windowHeight="855" activeSheetId="2"/>
    <customWorkbookView name="GiangNT - Personal View" guid="{BA680C88-7FC3-49C3-AA14-74432754B497}" mergeInterval="0" personalView="1" maximized="1" windowWidth="1916" windowHeight="831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Thanh Vu Van - Personal View" guid="{52646C22-009A-42DB-9645-9B1CCBC06272}" mergeInterval="0" personalView="1" maximized="1" windowWidth="1858" windowHeight="860" activeSheetId="4"/>
    <customWorkbookView name="Sang Nguyen Hong Hoan - Personal View" guid="{CBAA7D8B-D486-41DF-B6D0-D71293163E33}" mergeInterval="0" personalView="1" maximized="1" windowWidth="1613" windowHeight="749" activeSheetId="4"/>
    <customWorkbookView name="Tuan Nguyen Quoc - Personal View" guid="{7E427091-283A-453B-94EB-2B448709C24B}" mergeInterval="0" personalView="1" maximized="1" windowWidth="1858" windowHeight="894" activeSheetId="2"/>
    <customWorkbookView name="yensv - Personal View" guid="{3D68303D-5E50-44AA-9745-976E940C48C6}" mergeInterval="0" personalView="1" windowWidth="1916" windowHeight="909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Du Nguyen - Personal View" guid="{6ABFDB73-A4FC-493C-A504-1276E731333B}" mergeInterval="0" personalView="1" maximized="1" windowWidth="1916" windowHeight="855" activeSheetId="2"/>
  </customWorkbookViews>
</workbook>
</file>

<file path=xl/calcChain.xml><?xml version="1.0" encoding="utf-8"?>
<calcChain xmlns="http://schemas.openxmlformats.org/spreadsheetml/2006/main">
  <c r="J34" i="2" l="1"/>
  <c r="J32" i="2"/>
  <c r="J30" i="2"/>
  <c r="J29" i="2"/>
  <c r="J28" i="2"/>
  <c r="J25" i="2"/>
  <c r="J23" i="2"/>
  <c r="J21" i="2"/>
  <c r="J20" i="2"/>
  <c r="J17" i="2"/>
  <c r="J15" i="2"/>
  <c r="J14" i="2"/>
  <c r="J11" i="2"/>
  <c r="J9" i="2"/>
  <c r="J8" i="2"/>
  <c r="J6" i="2"/>
  <c r="J5" i="2"/>
  <c r="D3" i="4" l="1"/>
  <c r="C3" i="4"/>
  <c r="D2" i="4"/>
  <c r="C2" i="4"/>
</calcChain>
</file>

<file path=xl/sharedStrings.xml><?xml version="1.0" encoding="utf-8"?>
<sst xmlns="http://schemas.openxmlformats.org/spreadsheetml/2006/main" count="113" uniqueCount="82">
  <si>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</si>
  <si>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</si>
  <si>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</si>
  <si>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</si>
  <si>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</si>
  <si>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</si>
  <si>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</si>
  <si>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</si>
  <si>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</si>
  <si>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</si>
  <si>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</si>
  <si>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</si>
  <si>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</si>
  <si>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</si>
  <si>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</si>
  <si>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</si>
  <si>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</si>
  <si>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</si>
  <si>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</si>
  <si>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</si>
  <si>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</si>
  <si>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</si>
  <si>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</si>
  <si>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</si>
  <si>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</si>
  <si>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</si>
  <si>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</si>
  <si>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</si>
  <si>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</si>
  <si>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</si>
  <si>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</si>
  <si>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</si>
  <si>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</si>
  <si>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</si>
  <si>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</si>
  <si>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</si>
  <si>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</si>
  <si>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</si>
  <si>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</si>
  <si>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</si>
  <si>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Install Git, Check out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</si>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</sst>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8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9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12" fillId="8" borderId="2" xfId="0" applyFont="1" applyFill="1" applyBorder="1" applyAlignment="1" applyProtection="1">
      <alignment horizontal="center" vertical="center"/>
    </xf>
    <xf numFmtId="0" fontId="12" fillId="9" borderId="2" xfId="0" applyFont="1" applyFill="1" applyBorder="1" applyAlignment="1" applyProtection="1">
      <alignment horizontal="center" vertical="center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96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95"/>
      <tableStyleElement type="headerRow" dxfId="94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S1046265"/>
  <sheetViews>
    <sheetView zoomScaleNormal="100" workbookViewId="0">
      <pane xSplit="5" ySplit="2" topLeftCell="R3" activePane="bottomRight" state="frozen"/>
      <selection pane="topRight" activeCell="F1" sqref="F1"/>
      <selection pane="bottomLeft" activeCell="A3" sqref="A3"/>
      <selection pane="bottomRight" activeCell="R5" sqref="R5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7" width="32.85546875" style="18" customWidth="1"/>
    <col min="18" max="18" width="33.42578125" style="18" bestFit="1" customWidth="1"/>
    <col min="19" max="19" width="36.5703125" style="16" customWidth="1"/>
    <col min="20" max="16384" width="9.140625" style="8"/>
  </cols>
  <sheetData>
    <row r="1" spans="1:19" s="23" customFormat="1">
      <c r="A1" s="9"/>
      <c r="B1" s="9"/>
      <c r="C1" s="9"/>
      <c r="D1" s="9"/>
      <c r="E1" s="9"/>
      <c r="F1" s="9"/>
      <c r="G1" s="9"/>
      <c r="H1" s="84" t="s">
        <v>5</v>
      </c>
      <c r="I1" s="84"/>
      <c r="J1" s="84"/>
      <c r="K1" s="54"/>
      <c r="L1" s="85" t="s">
        <v>6</v>
      </c>
      <c r="M1" s="85"/>
      <c r="N1" s="85"/>
      <c r="O1" s="7"/>
      <c r="P1" s="7"/>
      <c r="Q1" s="7"/>
      <c r="R1" s="7"/>
      <c r="S1" s="7"/>
    </row>
    <row r="2" spans="1:19" s="24" customFormat="1" ht="48" customHeight="1">
      <c r="A2" s="26" t="s">
        <v>4</v>
      </c>
      <c r="B2" s="26" t="s">
        <v>25</v>
      </c>
      <c r="C2" s="26" t="s">
        <v>34</v>
      </c>
      <c r="D2" s="26" t="s">
        <v>8</v>
      </c>
      <c r="E2" s="26" t="s">
        <v>16</v>
      </c>
      <c r="F2" s="26" t="s">
        <v>19</v>
      </c>
      <c r="G2" s="26" t="s">
        <v>20</v>
      </c>
      <c r="H2" s="28" t="s">
        <v>12</v>
      </c>
      <c r="I2" s="28" t="s">
        <v>13</v>
      </c>
      <c r="J2" s="28" t="s">
        <v>21</v>
      </c>
      <c r="K2" s="28"/>
      <c r="L2" s="29" t="s">
        <v>14</v>
      </c>
      <c r="M2" s="29" t="s">
        <v>15</v>
      </c>
      <c r="N2" s="29" t="s">
        <v>21</v>
      </c>
      <c r="O2" s="26" t="s">
        <v>3</v>
      </c>
      <c r="P2" s="27" t="s">
        <v>11</v>
      </c>
      <c r="Q2" s="27" t="s">
        <v>17</v>
      </c>
      <c r="R2" s="26" t="s">
        <v>18</v>
      </c>
      <c r="S2" s="26" t="s">
        <v>10</v>
      </c>
    </row>
    <row r="3" spans="1:19" ht="12" customHeight="1">
      <c r="A3" s="30" t="s">
        <v>28</v>
      </c>
      <c r="B3" s="58"/>
      <c r="C3" s="31"/>
      <c r="D3" s="31"/>
      <c r="E3" s="32"/>
      <c r="F3" s="33"/>
      <c r="G3" s="33"/>
      <c r="H3" s="34"/>
      <c r="I3" s="35"/>
      <c r="J3" s="36"/>
      <c r="K3" s="36"/>
      <c r="L3" s="37"/>
      <c r="M3" s="37"/>
      <c r="N3" s="38"/>
      <c r="O3" s="39"/>
      <c r="P3" s="40"/>
      <c r="Q3" s="41"/>
      <c r="R3" s="41"/>
      <c r="S3" s="42"/>
    </row>
    <row r="4" spans="1:19" ht="11.25" outlineLevel="1">
      <c r="A4" s="43">
        <v>1</v>
      </c>
      <c r="B4" s="55" t="s">
        <v>29</v>
      </c>
      <c r="C4" s="86" t="s">
        <v>35</v>
      </c>
      <c r="D4" s="59">
        <v>1.1000000000000001</v>
      </c>
      <c r="E4" s="55" t="s">
        <v>36</v>
      </c>
      <c r="F4" s="62"/>
      <c r="G4" s="43"/>
      <c r="H4" s="44"/>
      <c r="I4" s="44"/>
      <c r="J4" s="45"/>
      <c r="K4" s="45"/>
      <c r="L4" s="46"/>
      <c r="M4" s="46"/>
      <c r="N4" s="47"/>
      <c r="O4" s="48"/>
      <c r="P4" s="49"/>
      <c r="Q4" s="50"/>
      <c r="R4" s="57"/>
      <c r="S4" s="52"/>
    </row>
    <row r="5" spans="1:19" s="67" customFormat="1" ht="33.75" outlineLevel="1">
      <c r="A5" s="62">
        <v>2</v>
      </c>
      <c r="B5" s="62"/>
      <c r="C5" s="87"/>
      <c r="D5" s="53" t="s">
        <v>23</v>
      </c>
      <c r="E5" s="68" t="s">
        <v>40</v>
      </c>
      <c r="F5" s="62" t="s">
        <v>22</v>
      </c>
      <c r="G5" s="62"/>
      <c r="H5" s="44">
        <v>44105</v>
      </c>
      <c r="I5" s="44">
        <v>44109</v>
      </c>
      <c r="J5" s="45">
        <f>3*7</f>
        <v>21</v>
      </c>
      <c r="K5" s="45"/>
      <c r="L5" s="46"/>
      <c r="M5" s="46"/>
      <c r="N5" s="47"/>
      <c r="O5" s="48"/>
      <c r="P5" s="49"/>
      <c r="Q5" s="50" t="s">
        <v>41</v>
      </c>
      <c r="R5" s="57" t="s">
        <v>80</v>
      </c>
      <c r="S5" s="50" t="s">
        <v>38</v>
      </c>
    </row>
    <row r="6" spans="1:19" s="67" customFormat="1" ht="12" customHeight="1" outlineLevel="1">
      <c r="A6" s="62">
        <v>3</v>
      </c>
      <c r="B6" s="62"/>
      <c r="C6" s="87"/>
      <c r="D6" s="53" t="s">
        <v>24</v>
      </c>
      <c r="E6" s="68" t="s">
        <v>42</v>
      </c>
      <c r="F6" s="62" t="s">
        <v>22</v>
      </c>
      <c r="G6" s="62"/>
      <c r="H6" s="44">
        <v>44105</v>
      </c>
      <c r="I6" s="44">
        <v>44109</v>
      </c>
      <c r="J6" s="45">
        <f>3*7</f>
        <v>21</v>
      </c>
      <c r="K6" s="60"/>
      <c r="L6" s="44"/>
      <c r="M6" s="46"/>
      <c r="N6" s="47"/>
      <c r="O6" s="48"/>
      <c r="P6" s="49"/>
      <c r="Q6" s="50" t="s">
        <v>37</v>
      </c>
      <c r="R6" s="57"/>
      <c r="S6" s="52" t="s">
        <v>79</v>
      </c>
    </row>
    <row r="7" spans="1:19" s="67" customFormat="1" ht="12" customHeight="1" outlineLevel="1">
      <c r="A7" s="62">
        <v>4</v>
      </c>
      <c r="B7" s="62"/>
      <c r="C7" s="87"/>
      <c r="D7" s="59">
        <v>1.2</v>
      </c>
      <c r="E7" s="55" t="s">
        <v>39</v>
      </c>
      <c r="F7" s="62"/>
      <c r="G7" s="62"/>
      <c r="H7" s="44"/>
      <c r="I7" s="44"/>
      <c r="J7" s="45"/>
      <c r="K7" s="61"/>
      <c r="L7" s="44"/>
      <c r="M7" s="46"/>
      <c r="N7" s="47"/>
      <c r="O7" s="48"/>
      <c r="P7" s="49"/>
      <c r="Q7" s="50"/>
      <c r="R7" s="57"/>
      <c r="S7" s="52"/>
    </row>
    <row r="8" spans="1:19" s="67" customFormat="1" ht="12" customHeight="1" outlineLevel="1">
      <c r="A8" s="62">
        <v>5</v>
      </c>
      <c r="B8" s="62"/>
      <c r="C8" s="87"/>
      <c r="D8" s="53" t="s">
        <v>26</v>
      </c>
      <c r="E8" s="68" t="s">
        <v>43</v>
      </c>
      <c r="F8" s="62"/>
      <c r="G8" s="62"/>
      <c r="H8" s="44">
        <v>44105</v>
      </c>
      <c r="I8" s="44">
        <v>44109</v>
      </c>
      <c r="J8" s="45">
        <f t="shared" ref="J8:J9" si="0">3*7</f>
        <v>21</v>
      </c>
      <c r="K8" s="45"/>
      <c r="L8" s="46"/>
      <c r="M8" s="44"/>
      <c r="N8" s="47"/>
      <c r="O8" s="48"/>
      <c r="P8" s="49"/>
      <c r="Q8" s="50" t="s">
        <v>69</v>
      </c>
      <c r="R8" s="51"/>
      <c r="S8" s="52"/>
    </row>
    <row r="9" spans="1:19" s="67" customFormat="1" ht="12" customHeight="1" outlineLevel="1">
      <c r="A9" s="62">
        <v>6</v>
      </c>
      <c r="B9" s="62"/>
      <c r="C9" s="87"/>
      <c r="D9" s="53" t="s">
        <v>27</v>
      </c>
      <c r="E9" s="68" t="s">
        <v>44</v>
      </c>
      <c r="F9" s="62"/>
      <c r="G9" s="62"/>
      <c r="H9" s="44">
        <v>44105</v>
      </c>
      <c r="I9" s="44">
        <v>44109</v>
      </c>
      <c r="J9" s="45">
        <f t="shared" si="0"/>
        <v>21</v>
      </c>
      <c r="K9" s="45"/>
      <c r="L9" s="46"/>
      <c r="M9" s="44"/>
      <c r="N9" s="47"/>
      <c r="O9" s="48"/>
      <c r="P9" s="49"/>
      <c r="Q9" s="50"/>
      <c r="R9" s="51"/>
      <c r="S9" s="52"/>
    </row>
    <row r="10" spans="1:19" s="67" customFormat="1" ht="12" customHeight="1" outlineLevel="1">
      <c r="A10" s="62">
        <v>7</v>
      </c>
      <c r="B10" s="70" t="s">
        <v>30</v>
      </c>
      <c r="C10" s="88" t="s">
        <v>54</v>
      </c>
      <c r="D10" s="71">
        <v>1.3</v>
      </c>
      <c r="E10" s="70" t="s">
        <v>36</v>
      </c>
      <c r="F10" s="69"/>
      <c r="G10" s="69"/>
      <c r="H10" s="72"/>
      <c r="I10" s="72"/>
      <c r="J10" s="73"/>
      <c r="K10" s="73"/>
      <c r="L10" s="72"/>
      <c r="M10" s="72"/>
      <c r="N10" s="74"/>
      <c r="O10" s="75"/>
      <c r="P10" s="76"/>
      <c r="Q10" s="77"/>
      <c r="R10" s="78"/>
      <c r="S10" s="79"/>
    </row>
    <row r="11" spans="1:19" s="67" customFormat="1" ht="12" customHeight="1" outlineLevel="1">
      <c r="A11" s="62">
        <v>8</v>
      </c>
      <c r="B11" s="69"/>
      <c r="C11" s="88"/>
      <c r="D11" s="80" t="s">
        <v>45</v>
      </c>
      <c r="E11" s="81" t="s">
        <v>46</v>
      </c>
      <c r="F11" s="69"/>
      <c r="G11" s="69"/>
      <c r="H11" s="72">
        <v>44105</v>
      </c>
      <c r="I11" s="72">
        <v>44109</v>
      </c>
      <c r="J11" s="73">
        <f>3*7</f>
        <v>21</v>
      </c>
      <c r="K11" s="73"/>
      <c r="L11" s="72"/>
      <c r="M11" s="72"/>
      <c r="N11" s="74"/>
      <c r="O11" s="75"/>
      <c r="P11" s="76"/>
      <c r="Q11" s="77"/>
      <c r="R11" s="78"/>
      <c r="S11" s="79"/>
    </row>
    <row r="12" spans="1:19" ht="12" customHeight="1">
      <c r="A12" s="30" t="s">
        <v>31</v>
      </c>
      <c r="B12" s="58"/>
      <c r="C12" s="31"/>
      <c r="D12" s="31"/>
      <c r="E12" s="32"/>
      <c r="F12" s="33"/>
      <c r="G12" s="33"/>
      <c r="H12" s="34"/>
      <c r="I12" s="35"/>
      <c r="J12" s="36"/>
      <c r="K12" s="36"/>
      <c r="L12" s="65"/>
      <c r="M12" s="65"/>
      <c r="N12" s="38"/>
      <c r="O12" s="39"/>
      <c r="P12" s="40"/>
      <c r="Q12" s="41"/>
      <c r="R12" s="41"/>
      <c r="S12" s="42"/>
    </row>
    <row r="13" spans="1:19" ht="12" customHeight="1" outlineLevel="1">
      <c r="A13" s="62">
        <v>1</v>
      </c>
      <c r="B13" s="55" t="s">
        <v>29</v>
      </c>
      <c r="C13" s="86" t="s">
        <v>47</v>
      </c>
      <c r="D13" s="59">
        <v>1.1000000000000001</v>
      </c>
      <c r="E13" s="55" t="s">
        <v>36</v>
      </c>
      <c r="F13" s="62"/>
      <c r="G13" s="62"/>
      <c r="H13" s="44"/>
      <c r="I13" s="44"/>
      <c r="J13" s="45"/>
      <c r="K13" s="45"/>
      <c r="L13" s="46"/>
      <c r="M13" s="46"/>
      <c r="N13" s="47"/>
      <c r="O13" s="48"/>
      <c r="P13" s="49"/>
      <c r="Q13" s="50"/>
      <c r="R13" s="57"/>
      <c r="S13" s="52"/>
    </row>
    <row r="14" spans="1:19" s="67" customFormat="1" ht="12" customHeight="1" outlineLevel="1">
      <c r="A14" s="62">
        <v>2</v>
      </c>
      <c r="B14" s="62"/>
      <c r="C14" s="87"/>
      <c r="D14" s="53" t="s">
        <v>23</v>
      </c>
      <c r="E14" s="68" t="s">
        <v>51</v>
      </c>
      <c r="F14" s="62"/>
      <c r="G14" s="62"/>
      <c r="H14" s="44">
        <v>44110</v>
      </c>
      <c r="I14" s="44">
        <v>44118</v>
      </c>
      <c r="J14" s="45">
        <f>7*7</f>
        <v>49</v>
      </c>
      <c r="K14" s="45"/>
      <c r="L14" s="46"/>
      <c r="M14" s="46"/>
      <c r="N14" s="47"/>
      <c r="O14" s="48"/>
      <c r="P14" s="49"/>
      <c r="Q14" s="50" t="s">
        <v>72</v>
      </c>
      <c r="R14" s="57"/>
      <c r="S14" s="50" t="s">
        <v>49</v>
      </c>
    </row>
    <row r="15" spans="1:19" s="67" customFormat="1" ht="12" customHeight="1" outlineLevel="1">
      <c r="A15" s="62">
        <v>3</v>
      </c>
      <c r="B15" s="62"/>
      <c r="C15" s="87"/>
      <c r="D15" s="53" t="s">
        <v>24</v>
      </c>
      <c r="E15" s="68" t="s">
        <v>52</v>
      </c>
      <c r="F15" s="62"/>
      <c r="G15" s="62"/>
      <c r="H15" s="44">
        <v>44110</v>
      </c>
      <c r="I15" s="44">
        <v>44118</v>
      </c>
      <c r="J15" s="45">
        <f>7*7</f>
        <v>49</v>
      </c>
      <c r="K15" s="63"/>
      <c r="L15" s="44"/>
      <c r="M15" s="46"/>
      <c r="N15" s="47"/>
      <c r="O15" s="48"/>
      <c r="P15" s="49"/>
      <c r="Q15" s="50"/>
      <c r="R15" s="57"/>
      <c r="S15" s="50" t="s">
        <v>48</v>
      </c>
    </row>
    <row r="16" spans="1:19" s="67" customFormat="1" ht="12" customHeight="1" outlineLevel="1">
      <c r="A16" s="62">
        <v>4</v>
      </c>
      <c r="B16" s="62"/>
      <c r="C16" s="87"/>
      <c r="D16" s="59">
        <v>1.2</v>
      </c>
      <c r="E16" s="55" t="s">
        <v>39</v>
      </c>
      <c r="F16" s="62"/>
      <c r="G16" s="62"/>
      <c r="H16" s="44"/>
      <c r="I16" s="44"/>
      <c r="J16" s="45"/>
      <c r="K16" s="61"/>
      <c r="L16" s="44"/>
      <c r="M16" s="46"/>
      <c r="N16" s="47"/>
      <c r="O16" s="48"/>
      <c r="P16" s="49"/>
      <c r="Q16" s="50"/>
      <c r="R16" s="57"/>
      <c r="S16" s="50" t="s">
        <v>50</v>
      </c>
    </row>
    <row r="17" spans="1:19" s="67" customFormat="1" ht="12" customHeight="1" outlineLevel="1">
      <c r="A17" s="62">
        <v>5</v>
      </c>
      <c r="B17" s="62"/>
      <c r="C17" s="87"/>
      <c r="D17" s="53" t="s">
        <v>26</v>
      </c>
      <c r="E17" s="68" t="s">
        <v>53</v>
      </c>
      <c r="F17" s="62"/>
      <c r="G17" s="62"/>
      <c r="H17" s="44">
        <v>44110</v>
      </c>
      <c r="I17" s="44">
        <v>44118</v>
      </c>
      <c r="J17" s="45">
        <f>7*7</f>
        <v>49</v>
      </c>
      <c r="K17" s="45"/>
      <c r="L17" s="46"/>
      <c r="M17" s="44"/>
      <c r="N17" s="47"/>
      <c r="O17" s="48"/>
      <c r="P17" s="49"/>
      <c r="Q17" s="50"/>
      <c r="R17" s="51"/>
      <c r="S17" s="50"/>
    </row>
    <row r="18" spans="1:19" ht="12" customHeight="1">
      <c r="A18" s="30" t="s">
        <v>32</v>
      </c>
      <c r="B18" s="58"/>
      <c r="C18" s="31"/>
      <c r="D18" s="31"/>
      <c r="E18" s="32"/>
      <c r="F18" s="33"/>
      <c r="G18" s="33"/>
      <c r="H18" s="34"/>
      <c r="I18" s="35"/>
      <c r="J18" s="36"/>
      <c r="K18" s="36"/>
      <c r="L18" s="65"/>
      <c r="M18" s="65"/>
      <c r="N18" s="38"/>
      <c r="O18" s="39"/>
      <c r="P18" s="40"/>
      <c r="Q18" s="41"/>
      <c r="R18" s="41"/>
      <c r="S18" s="42"/>
    </row>
    <row r="19" spans="1:19" ht="12" customHeight="1" outlineLevel="1">
      <c r="A19" s="62">
        <v>1</v>
      </c>
      <c r="B19" s="55" t="s">
        <v>29</v>
      </c>
      <c r="C19" s="86" t="s">
        <v>55</v>
      </c>
      <c r="D19" s="59">
        <v>1.1000000000000001</v>
      </c>
      <c r="E19" s="55" t="s">
        <v>36</v>
      </c>
      <c r="F19" s="62"/>
      <c r="G19" s="56"/>
      <c r="H19" s="44"/>
      <c r="I19" s="44"/>
      <c r="J19" s="45"/>
      <c r="K19" s="45"/>
      <c r="L19" s="64"/>
      <c r="M19" s="64"/>
      <c r="N19" s="47"/>
      <c r="O19" s="48"/>
      <c r="P19" s="49"/>
      <c r="Q19" s="50"/>
      <c r="R19" s="51"/>
      <c r="S19" s="52"/>
    </row>
    <row r="20" spans="1:19" ht="12" customHeight="1" outlineLevel="1">
      <c r="A20" s="62">
        <v>2</v>
      </c>
      <c r="B20" s="56"/>
      <c r="C20" s="87"/>
      <c r="D20" s="53" t="s">
        <v>23</v>
      </c>
      <c r="E20" s="68" t="s">
        <v>57</v>
      </c>
      <c r="F20" s="62"/>
      <c r="G20" s="56"/>
      <c r="H20" s="44">
        <v>44119</v>
      </c>
      <c r="I20" s="44">
        <v>44127</v>
      </c>
      <c r="J20" s="45">
        <f>7*7</f>
        <v>49</v>
      </c>
      <c r="K20" s="45"/>
      <c r="L20" s="64"/>
      <c r="M20" s="64"/>
      <c r="N20" s="47"/>
      <c r="O20" s="48"/>
      <c r="P20" s="49"/>
      <c r="Q20" s="50" t="s">
        <v>73</v>
      </c>
      <c r="R20" s="51"/>
      <c r="S20" s="50" t="s">
        <v>59</v>
      </c>
    </row>
    <row r="21" spans="1:19" s="67" customFormat="1" ht="12" customHeight="1" outlineLevel="1">
      <c r="A21" s="62">
        <v>3</v>
      </c>
      <c r="B21" s="62"/>
      <c r="C21" s="87"/>
      <c r="D21" s="53" t="s">
        <v>24</v>
      </c>
      <c r="E21" s="68" t="s">
        <v>56</v>
      </c>
      <c r="F21" s="62"/>
      <c r="G21" s="62"/>
      <c r="H21" s="44">
        <v>44119</v>
      </c>
      <c r="I21" s="44">
        <v>44127</v>
      </c>
      <c r="J21" s="45">
        <f>7*7</f>
        <v>49</v>
      </c>
      <c r="K21" s="45"/>
      <c r="L21" s="64"/>
      <c r="M21" s="64"/>
      <c r="N21" s="47"/>
      <c r="O21" s="48"/>
      <c r="P21" s="49"/>
      <c r="Q21" s="50"/>
      <c r="R21" s="51"/>
      <c r="S21" s="52"/>
    </row>
    <row r="22" spans="1:19" s="67" customFormat="1" ht="12" customHeight="1" outlineLevel="1">
      <c r="A22" s="62">
        <v>4</v>
      </c>
      <c r="B22" s="62"/>
      <c r="C22" s="87"/>
      <c r="D22" s="59">
        <v>1.2</v>
      </c>
      <c r="E22" s="55" t="s">
        <v>39</v>
      </c>
      <c r="F22" s="62"/>
      <c r="G22" s="62"/>
      <c r="H22" s="44"/>
      <c r="I22" s="44"/>
      <c r="J22" s="45"/>
      <c r="K22" s="45"/>
      <c r="L22" s="64"/>
      <c r="M22" s="64"/>
      <c r="N22" s="47"/>
      <c r="O22" s="48"/>
      <c r="P22" s="49"/>
      <c r="Q22" s="50"/>
      <c r="R22" s="51"/>
      <c r="S22" s="52"/>
    </row>
    <row r="23" spans="1:19" s="67" customFormat="1" ht="12" customHeight="1" outlineLevel="1">
      <c r="A23" s="62">
        <v>5</v>
      </c>
      <c r="B23" s="62"/>
      <c r="C23" s="87"/>
      <c r="D23" s="53" t="s">
        <v>26</v>
      </c>
      <c r="E23" s="68" t="s">
        <v>58</v>
      </c>
      <c r="F23" s="62"/>
      <c r="G23" s="62"/>
      <c r="H23" s="44">
        <v>44119</v>
      </c>
      <c r="I23" s="44">
        <v>44127</v>
      </c>
      <c r="J23" s="45">
        <f>7*7</f>
        <v>49</v>
      </c>
      <c r="K23" s="45"/>
      <c r="L23" s="64"/>
      <c r="M23" s="64"/>
      <c r="N23" s="47"/>
      <c r="O23" s="48"/>
      <c r="P23" s="49"/>
      <c r="Q23" s="50"/>
      <c r="R23" s="51"/>
      <c r="S23" s="52"/>
    </row>
    <row r="24" spans="1:19" s="67" customFormat="1" ht="12" customHeight="1" outlineLevel="1">
      <c r="A24" s="62">
        <v>6</v>
      </c>
      <c r="B24" s="70" t="s">
        <v>30</v>
      </c>
      <c r="C24" s="88" t="s">
        <v>76</v>
      </c>
      <c r="D24" s="71">
        <v>1.3</v>
      </c>
      <c r="E24" s="70" t="s">
        <v>36</v>
      </c>
      <c r="F24" s="69"/>
      <c r="G24" s="69"/>
      <c r="H24" s="72"/>
      <c r="I24" s="72"/>
      <c r="J24" s="73"/>
      <c r="K24" s="73"/>
      <c r="L24" s="82"/>
      <c r="M24" s="82"/>
      <c r="N24" s="74"/>
      <c r="O24" s="75"/>
      <c r="P24" s="76"/>
      <c r="Q24" s="77"/>
      <c r="R24" s="83"/>
      <c r="S24" s="79"/>
    </row>
    <row r="25" spans="1:19" s="67" customFormat="1" ht="12" customHeight="1" outlineLevel="1">
      <c r="A25" s="62">
        <v>7</v>
      </c>
      <c r="B25" s="69"/>
      <c r="C25" s="88"/>
      <c r="D25" s="80" t="s">
        <v>45</v>
      </c>
      <c r="E25" s="81" t="s">
        <v>77</v>
      </c>
      <c r="F25" s="69"/>
      <c r="G25" s="69"/>
      <c r="H25" s="72">
        <v>44119</v>
      </c>
      <c r="I25" s="72">
        <v>44127</v>
      </c>
      <c r="J25" s="73">
        <f>7*7</f>
        <v>49</v>
      </c>
      <c r="K25" s="73"/>
      <c r="L25" s="82"/>
      <c r="M25" s="82"/>
      <c r="N25" s="74"/>
      <c r="O25" s="75"/>
      <c r="P25" s="76"/>
      <c r="Q25" s="77" t="s">
        <v>78</v>
      </c>
      <c r="R25" s="83"/>
      <c r="S25" s="79"/>
    </row>
    <row r="26" spans="1:19" ht="12" customHeight="1">
      <c r="A26" s="30" t="s">
        <v>33</v>
      </c>
      <c r="B26" s="58"/>
      <c r="C26" s="31"/>
      <c r="D26" s="31"/>
      <c r="E26" s="32"/>
      <c r="F26" s="33"/>
      <c r="G26" s="33"/>
      <c r="H26" s="34"/>
      <c r="I26" s="35"/>
      <c r="J26" s="36"/>
      <c r="K26" s="36"/>
      <c r="L26" s="65"/>
      <c r="M26" s="65"/>
      <c r="N26" s="38"/>
      <c r="O26" s="39"/>
      <c r="P26" s="40"/>
      <c r="Q26" s="41"/>
      <c r="R26" s="41"/>
      <c r="S26" s="42"/>
    </row>
    <row r="27" spans="1:19" ht="12" customHeight="1" outlineLevel="1">
      <c r="A27" s="62">
        <v>1</v>
      </c>
      <c r="B27" s="55" t="s">
        <v>29</v>
      </c>
      <c r="C27" s="86" t="s">
        <v>65</v>
      </c>
      <c r="D27" s="59">
        <v>1.1000000000000001</v>
      </c>
      <c r="E27" s="55" t="s">
        <v>36</v>
      </c>
      <c r="F27" s="62"/>
      <c r="G27" s="62"/>
      <c r="H27" s="44"/>
      <c r="I27" s="44"/>
      <c r="J27" s="45"/>
      <c r="K27" s="45"/>
      <c r="L27" s="64"/>
      <c r="M27" s="64"/>
      <c r="N27" s="47"/>
      <c r="O27" s="48"/>
      <c r="P27" s="49"/>
      <c r="Q27" s="50"/>
      <c r="R27" s="51"/>
      <c r="S27" s="52"/>
    </row>
    <row r="28" spans="1:19" ht="12" customHeight="1" outlineLevel="1">
      <c r="A28" s="62">
        <v>2</v>
      </c>
      <c r="B28" s="62"/>
      <c r="C28" s="86"/>
      <c r="D28" s="53" t="s">
        <v>23</v>
      </c>
      <c r="E28" s="68" t="s">
        <v>62</v>
      </c>
      <c r="F28" s="62"/>
      <c r="G28" s="62"/>
      <c r="H28" s="44">
        <v>44130</v>
      </c>
      <c r="I28" s="44">
        <v>44134</v>
      </c>
      <c r="J28" s="45">
        <f>7*5</f>
        <v>35</v>
      </c>
      <c r="K28" s="45"/>
      <c r="L28" s="64"/>
      <c r="M28" s="64"/>
      <c r="N28" s="47"/>
      <c r="O28" s="48"/>
      <c r="P28" s="49"/>
      <c r="Q28" s="50" t="s">
        <v>70</v>
      </c>
      <c r="R28" s="51"/>
      <c r="S28" s="52"/>
    </row>
    <row r="29" spans="1:19" s="67" customFormat="1" ht="12" customHeight="1" outlineLevel="1">
      <c r="A29" s="62">
        <v>3</v>
      </c>
      <c r="B29" s="62"/>
      <c r="C29" s="86"/>
      <c r="D29" s="53" t="s">
        <v>24</v>
      </c>
      <c r="E29" s="68" t="s">
        <v>61</v>
      </c>
      <c r="F29" s="62"/>
      <c r="G29" s="62"/>
      <c r="H29" s="44">
        <v>44130</v>
      </c>
      <c r="I29" s="44">
        <v>44134</v>
      </c>
      <c r="J29" s="45">
        <f>7*5</f>
        <v>35</v>
      </c>
      <c r="K29" s="45"/>
      <c r="L29" s="64"/>
      <c r="M29" s="64"/>
      <c r="N29" s="47"/>
      <c r="O29" s="48"/>
      <c r="P29" s="49"/>
      <c r="Q29" s="50" t="s">
        <v>74</v>
      </c>
      <c r="R29" s="51"/>
      <c r="S29" s="50" t="s">
        <v>71</v>
      </c>
    </row>
    <row r="30" spans="1:19" ht="12" customHeight="1" outlineLevel="1">
      <c r="A30" s="62">
        <v>2</v>
      </c>
      <c r="B30" s="62"/>
      <c r="C30" s="86"/>
      <c r="D30" s="53" t="s">
        <v>23</v>
      </c>
      <c r="E30" s="68" t="s">
        <v>64</v>
      </c>
      <c r="F30" s="62"/>
      <c r="G30" s="62"/>
      <c r="H30" s="44">
        <v>44137</v>
      </c>
      <c r="I30" s="44">
        <v>44144</v>
      </c>
      <c r="J30" s="45">
        <f>7*6</f>
        <v>42</v>
      </c>
      <c r="K30" s="45"/>
      <c r="L30" s="64"/>
      <c r="M30" s="64"/>
      <c r="N30" s="47"/>
      <c r="O30" s="48"/>
      <c r="P30" s="49"/>
      <c r="Q30" s="50"/>
      <c r="R30" s="51"/>
      <c r="S30" s="50" t="s">
        <v>60</v>
      </c>
    </row>
    <row r="31" spans="1:19" s="67" customFormat="1" ht="12" customHeight="1" outlineLevel="1">
      <c r="A31" s="62">
        <v>4</v>
      </c>
      <c r="B31" s="62"/>
      <c r="C31" s="87"/>
      <c r="D31" s="59">
        <v>1.2</v>
      </c>
      <c r="E31" s="55" t="s">
        <v>39</v>
      </c>
      <c r="F31" s="62"/>
      <c r="G31" s="62"/>
      <c r="H31" s="44"/>
      <c r="I31" s="44"/>
      <c r="J31" s="45"/>
      <c r="K31" s="45"/>
      <c r="L31" s="64"/>
      <c r="M31" s="64"/>
      <c r="N31" s="47"/>
      <c r="O31" s="48"/>
      <c r="P31" s="49"/>
      <c r="Q31" s="50"/>
      <c r="R31" s="51"/>
      <c r="S31" s="52"/>
    </row>
    <row r="32" spans="1:19" s="67" customFormat="1" ht="12" customHeight="1" outlineLevel="1">
      <c r="A32" s="62">
        <v>5</v>
      </c>
      <c r="B32" s="62"/>
      <c r="C32" s="87"/>
      <c r="D32" s="53" t="s">
        <v>26</v>
      </c>
      <c r="E32" s="68" t="s">
        <v>63</v>
      </c>
      <c r="F32" s="62"/>
      <c r="G32" s="62"/>
      <c r="H32" s="44">
        <v>44144</v>
      </c>
      <c r="I32" s="44">
        <v>44151</v>
      </c>
      <c r="J32" s="45">
        <f>7*6</f>
        <v>42</v>
      </c>
      <c r="K32" s="45"/>
      <c r="L32" s="64"/>
      <c r="M32" s="64"/>
      <c r="N32" s="47"/>
      <c r="O32" s="48"/>
      <c r="P32" s="49"/>
      <c r="Q32" s="50"/>
      <c r="R32" s="51"/>
      <c r="S32" s="52"/>
    </row>
    <row r="33" spans="1:19" s="67" customFormat="1" ht="12" customHeight="1" outlineLevel="1">
      <c r="A33" s="62">
        <v>6</v>
      </c>
      <c r="B33" s="70" t="s">
        <v>30</v>
      </c>
      <c r="C33" s="88" t="s">
        <v>66</v>
      </c>
      <c r="D33" s="71">
        <v>1.3</v>
      </c>
      <c r="E33" s="70" t="s">
        <v>36</v>
      </c>
      <c r="F33" s="69"/>
      <c r="G33" s="69"/>
      <c r="H33" s="72"/>
      <c r="I33" s="72"/>
      <c r="J33" s="73"/>
      <c r="K33" s="73"/>
      <c r="L33" s="82"/>
      <c r="M33" s="82"/>
      <c r="N33" s="74"/>
      <c r="O33" s="75"/>
      <c r="P33" s="76"/>
      <c r="Q33" s="77"/>
      <c r="R33" s="83"/>
      <c r="S33" s="79"/>
    </row>
    <row r="34" spans="1:19" s="67" customFormat="1" ht="12" customHeight="1" outlineLevel="1">
      <c r="A34" s="62">
        <v>7</v>
      </c>
      <c r="B34" s="69"/>
      <c r="C34" s="88"/>
      <c r="D34" s="80" t="s">
        <v>45</v>
      </c>
      <c r="E34" s="81" t="s">
        <v>67</v>
      </c>
      <c r="F34" s="69"/>
      <c r="G34" s="69"/>
      <c r="H34" s="72">
        <v>44151</v>
      </c>
      <c r="I34" s="72">
        <v>44161</v>
      </c>
      <c r="J34" s="73">
        <f>7*9</f>
        <v>63</v>
      </c>
      <c r="K34" s="73"/>
      <c r="L34" s="82"/>
      <c r="M34" s="82"/>
      <c r="N34" s="74"/>
      <c r="O34" s="75"/>
      <c r="P34" s="76"/>
      <c r="Q34" s="77" t="s">
        <v>68</v>
      </c>
      <c r="R34" s="83"/>
      <c r="S34" s="79"/>
    </row>
    <row r="1046137" spans="1:19">
      <c r="A1046137" s="12"/>
      <c r="B1046137" s="12"/>
      <c r="C1046137" s="12"/>
      <c r="D1046137" s="12"/>
      <c r="F1046137" s="12"/>
      <c r="G1046137" s="12"/>
      <c r="H1046137" s="12"/>
      <c r="I1046137" s="12"/>
      <c r="J1046137" s="13"/>
      <c r="K1046137" s="13"/>
      <c r="L1046137" s="21"/>
      <c r="M1046137" s="21"/>
      <c r="N1046137" s="12"/>
      <c r="O1046137" s="21"/>
      <c r="P1046137" s="17"/>
      <c r="Q1046137" s="19"/>
      <c r="R1046137" s="19"/>
      <c r="S1046137" s="20"/>
    </row>
    <row r="1046139" spans="1:19">
      <c r="A1046139" s="12"/>
      <c r="B1046139" s="12"/>
      <c r="C1046139" s="12"/>
      <c r="D1046139" s="12"/>
      <c r="F1046139" s="12"/>
      <c r="G1046139" s="12"/>
      <c r="H1046139" s="12"/>
      <c r="I1046139" s="12"/>
      <c r="J1046139" s="13"/>
      <c r="K1046139" s="13"/>
      <c r="L1046139" s="21"/>
      <c r="M1046139" s="21"/>
      <c r="N1046139" s="12"/>
      <c r="O1046139" s="21"/>
      <c r="P1046139" s="17"/>
      <c r="Q1046139" s="19"/>
      <c r="R1046139" s="19"/>
      <c r="S1046139" s="20"/>
    </row>
    <row r="1046149" spans="1:19">
      <c r="A1046149" s="12"/>
      <c r="B1046149" s="12"/>
      <c r="C1046149" s="12"/>
      <c r="D1046149" s="12"/>
      <c r="F1046149" s="12"/>
      <c r="G1046149" s="12"/>
      <c r="H1046149" s="12"/>
      <c r="I1046149" s="12"/>
      <c r="J1046149" s="13"/>
      <c r="K1046149" s="13"/>
      <c r="L1046149" s="21"/>
      <c r="M1046149" s="21"/>
      <c r="N1046149" s="12"/>
      <c r="O1046149" s="21"/>
      <c r="P1046149" s="17"/>
      <c r="Q1046149" s="19"/>
      <c r="R1046149" s="19"/>
      <c r="S1046149" s="20"/>
    </row>
    <row r="1046176" spans="1:19">
      <c r="A1046176" s="12"/>
      <c r="B1046176" s="12"/>
      <c r="C1046176" s="12"/>
      <c r="D1046176" s="12"/>
      <c r="F1046176" s="12"/>
      <c r="G1046176" s="12"/>
      <c r="H1046176" s="12"/>
      <c r="I1046176" s="12"/>
      <c r="J1046176" s="13"/>
      <c r="K1046176" s="13"/>
      <c r="L1046176" s="21"/>
      <c r="M1046176" s="21"/>
      <c r="N1046176" s="12"/>
      <c r="O1046176" s="21"/>
      <c r="P1046176" s="17"/>
      <c r="Q1046176" s="19"/>
      <c r="R1046176" s="19"/>
      <c r="S1046176" s="20"/>
    </row>
    <row r="1046179" spans="1:19">
      <c r="A1046179" s="12"/>
      <c r="B1046179" s="12"/>
      <c r="C1046179" s="12"/>
      <c r="D1046179" s="12"/>
      <c r="F1046179" s="12"/>
      <c r="G1046179" s="12"/>
      <c r="H1046179" s="12"/>
      <c r="I1046179" s="12"/>
      <c r="J1046179" s="13"/>
      <c r="K1046179" s="13"/>
      <c r="L1046179" s="21"/>
      <c r="M1046179" s="21"/>
      <c r="N1046179" s="12"/>
      <c r="O1046179" s="21"/>
      <c r="P1046179" s="17"/>
      <c r="Q1046179" s="19"/>
      <c r="R1046179" s="19"/>
      <c r="S1046179" s="20"/>
    </row>
    <row r="1046247" spans="1:19">
      <c r="A1046247" s="12"/>
      <c r="B1046247" s="12"/>
      <c r="C1046247" s="12"/>
      <c r="D1046247" s="12"/>
      <c r="F1046247" s="12"/>
      <c r="G1046247" s="12"/>
      <c r="H1046247" s="12"/>
      <c r="I1046247" s="12"/>
      <c r="J1046247" s="13"/>
      <c r="K1046247" s="13"/>
      <c r="L1046247" s="21"/>
      <c r="M1046247" s="21"/>
      <c r="N1046247" s="12"/>
      <c r="O1046247" s="21"/>
      <c r="P1046247" s="17"/>
      <c r="Q1046247" s="19"/>
      <c r="R1046247" s="19"/>
      <c r="S1046247" s="20"/>
    </row>
    <row r="1046258" spans="1:19">
      <c r="A1046258" s="12"/>
      <c r="B1046258" s="12"/>
      <c r="C1046258" s="12"/>
      <c r="D1046258" s="12"/>
      <c r="F1046258" s="12"/>
      <c r="G1046258" s="12"/>
      <c r="H1046258" s="12"/>
      <c r="I1046258" s="12"/>
      <c r="J1046258" s="13"/>
      <c r="K1046258" s="13"/>
      <c r="L1046258" s="21"/>
      <c r="M1046258" s="21"/>
      <c r="N1046258" s="12"/>
      <c r="O1046258" s="21"/>
      <c r="P1046258" s="17"/>
      <c r="Q1046258" s="19"/>
      <c r="R1046258" s="19"/>
      <c r="S1046258" s="20"/>
    </row>
    <row r="1046260" spans="1:19">
      <c r="A1046260" s="12"/>
      <c r="B1046260" s="12"/>
      <c r="C1046260" s="12"/>
      <c r="D1046260" s="12"/>
      <c r="F1046260" s="12"/>
      <c r="G1046260" s="12"/>
      <c r="H1046260" s="12"/>
      <c r="I1046260" s="12"/>
      <c r="J1046260" s="13"/>
      <c r="K1046260" s="13"/>
      <c r="L1046260" s="21"/>
      <c r="M1046260" s="21"/>
      <c r="N1046260" s="12"/>
      <c r="O1046260" s="21"/>
      <c r="P1046260" s="17"/>
      <c r="Q1046260" s="19"/>
      <c r="R1046260" s="19"/>
      <c r="S1046260" s="20"/>
    </row>
    <row r="1046265" spans="1:19">
      <c r="A1046265" s="12"/>
      <c r="B1046265" s="12"/>
      <c r="C1046265" s="12"/>
      <c r="D1046265" s="12"/>
      <c r="F1046265" s="12"/>
      <c r="G1046265" s="12"/>
      <c r="H1046265" s="12"/>
      <c r="I1046265" s="12"/>
      <c r="J1046265" s="13"/>
      <c r="K1046265" s="13"/>
      <c r="L1046265" s="21"/>
      <c r="M1046265" s="21"/>
      <c r="N1046265" s="12"/>
      <c r="O1046265" s="21"/>
      <c r="P1046265" s="17"/>
      <c r="Q1046265" s="19"/>
      <c r="R1046265" s="19"/>
      <c r="S1046265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2:S2 A26:S26 F1:S1 A1:E4 F18:S18 B5:E7 H2:I2 F24:G25 A5:A11 A18:E25 F33:G34 A27:E34 B8:S11 H19:S25 H27:S34 A12:S17 F3:S7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19:G23 F27:G32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2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:G2" name="All_15" securityDescriptor="O:WDG:WDD:(A;;CC;;;S-1-5-21-2856633852-605421536-4035018569-17173)(A;;CC;;;S-1-5-21-2856633852-605421536-4035018569-1134)"/>
  </protectedRanges>
  <autoFilter ref="A2:S27"/>
  <mergeCells count="9">
    <mergeCell ref="C19:C23"/>
    <mergeCell ref="C24:C25"/>
    <mergeCell ref="C27:C32"/>
    <mergeCell ref="C33:C34"/>
    <mergeCell ref="H1:J1"/>
    <mergeCell ref="L1:N1"/>
    <mergeCell ref="C4:C9"/>
    <mergeCell ref="C10:C11"/>
    <mergeCell ref="C13:C17"/>
  </mergeCells>
  <phoneticPr fontId="10"/>
  <conditionalFormatting sqref="D19">
    <cfRule type="expression" dxfId="93" priority="22652">
      <formula>IF(AND(NOT(ISBLANK(#REF!)),NOW()&gt;#REF!,OR(#REF!="On-going",#REF!="New")),TRUE,FALSE)</formula>
    </cfRule>
  </conditionalFormatting>
  <conditionalFormatting sqref="Q7:S7 C26:E26 A3:C4 G26:S26 G3:S3 D3:E7 B9:B10 D10:S10 D9:G9 K9:S9 A12:S12 B5:B7 A5:A11 A18:S18 A19 A20:B26 D19:D21 D20:E21 F19:G20 F24:I24 F23:G23 F25:G25 K25:P25 R25:S25 J19:S19 A31:B34 F31:P31 F21:I22 G4:R7 S6 S4 R31:S31 K20:S24 A14:A17">
    <cfRule type="expression" dxfId="92" priority="22676">
      <formula>IF(AND(NOT(ISBLANK($I3)),NOW()&gt;$I3,OR($O3="On-going",$O3="New")),TRUE,FALSE)</formula>
    </cfRule>
  </conditionalFormatting>
  <conditionalFormatting sqref="F26 F3:F7">
    <cfRule type="expression" dxfId="91" priority="124">
      <formula>IF(AND(NOT(ISBLANK($I3)),NOW()&gt;$I3,OR($O3="On-going",$O3="New")),TRUE,FALSE)</formula>
    </cfRule>
  </conditionalFormatting>
  <conditionalFormatting sqref="H11">
    <cfRule type="expression" dxfId="90" priority="111">
      <formula>IF(AND(NOT(ISBLANK($I11)),NOW()&gt;$I11,OR($O11="On-going",$O11="New")),TRUE,FALSE)</formula>
    </cfRule>
  </conditionalFormatting>
  <conditionalFormatting sqref="D8:E8 G8 B8 R8:S8 K8:P8">
    <cfRule type="expression" dxfId="89" priority="121">
      <formula>IF(AND(NOT(ISBLANK($I8)),NOW()&gt;$I8,OR($O8="On-going",$O8="New")),TRUE,FALSE)</formula>
    </cfRule>
  </conditionalFormatting>
  <conditionalFormatting sqref="I8:I9">
    <cfRule type="expression" dxfId="88" priority="115">
      <formula>IF(AND(NOT(ISBLANK($I8)),NOW()&gt;$I8,OR($O8="On-going",$O8="New")),TRUE,FALSE)</formula>
    </cfRule>
  </conditionalFormatting>
  <conditionalFormatting sqref="F8">
    <cfRule type="expression" dxfId="87" priority="120">
      <formula>IF(AND(NOT(ISBLANK($I8)),NOW()&gt;$I8,OR($O8="On-going",$O8="New")),TRUE,FALSE)</formula>
    </cfRule>
  </conditionalFormatting>
  <conditionalFormatting sqref="C10">
    <cfRule type="expression" dxfId="86" priority="119">
      <formula>IF(AND(NOT(ISBLANK($I10)),NOW()&gt;$I10,OR($O10="On-going",$O10="New")),TRUE,FALSE)</formula>
    </cfRule>
  </conditionalFormatting>
  <conditionalFormatting sqref="B11 F11:G11 K11:S11">
    <cfRule type="expression" dxfId="85" priority="118">
      <formula>IF(AND(NOT(ISBLANK($I11)),NOW()&gt;$I11,OR($O11="On-going",$O11="New")),TRUE,FALSE)</formula>
    </cfRule>
  </conditionalFormatting>
  <conditionalFormatting sqref="H8:H9">
    <cfRule type="expression" dxfId="84" priority="116">
      <formula>IF(AND(NOT(ISBLANK($I8)),NOW()&gt;$I8,OR($O8="On-going",$O8="New")),TRUE,FALSE)</formula>
    </cfRule>
  </conditionalFormatting>
  <conditionalFormatting sqref="E11">
    <cfRule type="expression" dxfId="83" priority="114">
      <formula>IF(AND(NOT(ISBLANK($I11)),NOW()&gt;$I11,OR($O11="On-going",$O11="New")),TRUE,FALSE)</formula>
    </cfRule>
  </conditionalFormatting>
  <conditionalFormatting sqref="D11">
    <cfRule type="expression" dxfId="82" priority="113">
      <formula>IF(AND(NOT(ISBLANK($I11)),NOW()&gt;$I11,OR($O11="On-going",$O11="New")),TRUE,FALSE)</formula>
    </cfRule>
  </conditionalFormatting>
  <conditionalFormatting sqref="J11">
    <cfRule type="expression" dxfId="81" priority="109">
      <formula>IF(AND(NOT(ISBLANK($I11)),NOW()&gt;$I11,OR($O11="On-going",$O11="New")),TRUE,FALSE)</formula>
    </cfRule>
  </conditionalFormatting>
  <conditionalFormatting sqref="A13:C13 D13:E16 B14:B16 G13:S13 G14:R16">
    <cfRule type="expression" dxfId="80" priority="108">
      <formula>IF(AND(NOT(ISBLANK($I13)),NOW()&gt;$I13,OR($O13="On-going",$O13="New")),TRUE,FALSE)</formula>
    </cfRule>
  </conditionalFormatting>
  <conditionalFormatting sqref="I11">
    <cfRule type="expression" dxfId="79" priority="110">
      <formula>IF(AND(NOT(ISBLANK($I11)),NOW()&gt;$I11,OR($O11="On-going",$O11="New")),TRUE,FALSE)</formula>
    </cfRule>
  </conditionalFormatting>
  <conditionalFormatting sqref="H17">
    <cfRule type="expression" dxfId="78" priority="94">
      <formula>IF(AND(NOT(ISBLANK($I17)),NOW()&gt;$I17,OR($O17="On-going",$O17="New")),TRUE,FALSE)</formula>
    </cfRule>
  </conditionalFormatting>
  <conditionalFormatting sqref="Q17">
    <cfRule type="expression" dxfId="77" priority="102">
      <formula>IF(AND(NOT(ISBLANK($I17)),NOW()&gt;$I17,OR($O17="On-going",$O17="New")),TRUE,FALSE)</formula>
    </cfRule>
  </conditionalFormatting>
  <conditionalFormatting sqref="F13:F16">
    <cfRule type="expression" dxfId="76" priority="107">
      <formula>IF(AND(NOT(ISBLANK($I13)),NOW()&gt;$I13,OR($O13="On-going",$O13="New")),TRUE,FALSE)</formula>
    </cfRule>
  </conditionalFormatting>
  <conditionalFormatting sqref="D17:E17 G17 B17 R17 K17:P17">
    <cfRule type="expression" dxfId="75" priority="106">
      <formula>IF(AND(NOT(ISBLANK($I17)),NOW()&gt;$I17,OR($O17="On-going",$O17="New")),TRUE,FALSE)</formula>
    </cfRule>
  </conditionalFormatting>
  <conditionalFormatting sqref="F17">
    <cfRule type="expression" dxfId="74" priority="105">
      <formula>IF(AND(NOT(ISBLANK($I17)),NOW()&gt;$I17,OR($O17="On-going",$O17="New")),TRUE,FALSE)</formula>
    </cfRule>
  </conditionalFormatting>
  <conditionalFormatting sqref="E32">
    <cfRule type="expression" dxfId="73" priority="58">
      <formula>IF(AND(NOT(ISBLANK($I32)),NOW()&gt;$I32,OR($O32="On-going",$O32="New")),TRUE,FALSE)</formula>
    </cfRule>
  </conditionalFormatting>
  <conditionalFormatting sqref="C33">
    <cfRule type="expression" dxfId="72" priority="62">
      <formula>IF(AND(NOT(ISBLANK($I33)),NOW()&gt;$I33,OR($O33="On-going",$O33="New")),TRUE,FALSE)</formula>
    </cfRule>
  </conditionalFormatting>
  <conditionalFormatting sqref="C19">
    <cfRule type="expression" dxfId="71" priority="88">
      <formula>IF(AND(NOT(ISBLANK($I19)),NOW()&gt;$I19,OR($O19="On-going",$O19="New")),TRUE,FALSE)</formula>
    </cfRule>
  </conditionalFormatting>
  <conditionalFormatting sqref="B19">
    <cfRule type="expression" dxfId="70" priority="87">
      <formula>IF(AND(NOT(ISBLANK($I19)),NOW()&gt;$I19,OR($O19="On-going",$O19="New")),TRUE,FALSE)</formula>
    </cfRule>
  </conditionalFormatting>
  <conditionalFormatting sqref="C24">
    <cfRule type="expression" dxfId="69" priority="86">
      <formula>IF(AND(NOT(ISBLANK($I24)),NOW()&gt;$I24,OR($O24="On-going",$O24="New")),TRUE,FALSE)</formula>
    </cfRule>
  </conditionalFormatting>
  <conditionalFormatting sqref="E19">
    <cfRule type="expression" dxfId="68" priority="85">
      <formula>IF(AND(NOT(ISBLANK($I19)),NOW()&gt;$I19,OR($O19="On-going",$O19="New")),TRUE,FALSE)</formula>
    </cfRule>
  </conditionalFormatting>
  <conditionalFormatting sqref="H34">
    <cfRule type="expression" dxfId="67" priority="48">
      <formula>IF(AND(NOT(ISBLANK($I34)),NOW()&gt;$I34,OR($O34="On-going",$O34="New")),TRUE,FALSE)</formula>
    </cfRule>
  </conditionalFormatting>
  <conditionalFormatting sqref="D22:E22">
    <cfRule type="expression" dxfId="66" priority="83">
      <formula>IF(AND(NOT(ISBLANK($I22)),NOW()&gt;$I22,OR($O22="On-going",$O22="New")),TRUE,FALSE)</formula>
    </cfRule>
  </conditionalFormatting>
  <conditionalFormatting sqref="D23">
    <cfRule type="expression" dxfId="65" priority="82">
      <formula>IF(AND(NOT(ISBLANK($I23)),NOW()&gt;$I23,OR($O23="On-going",$O23="New")),TRUE,FALSE)</formula>
    </cfRule>
  </conditionalFormatting>
  <conditionalFormatting sqref="E23">
    <cfRule type="expression" dxfId="64" priority="81">
      <formula>IF(AND(NOT(ISBLANK($I23)),NOW()&gt;$I23,OR($O23="On-going",$O23="New")),TRUE,FALSE)</formula>
    </cfRule>
  </conditionalFormatting>
  <conditionalFormatting sqref="H19">
    <cfRule type="expression" dxfId="63" priority="80">
      <formula>IF(AND(NOT(ISBLANK($I19)),NOW()&gt;$I19,OR($O19="On-going",$O19="New")),TRUE,FALSE)</formula>
    </cfRule>
  </conditionalFormatting>
  <conditionalFormatting sqref="I17">
    <cfRule type="expression" dxfId="62" priority="79">
      <formula>IF(AND(NOT(ISBLANK($I17)),NOW()&gt;$I17,OR($O17="On-going",$O17="New")),TRUE,FALSE)</formula>
    </cfRule>
  </conditionalFormatting>
  <conditionalFormatting sqref="H20">
    <cfRule type="expression" dxfId="61" priority="78">
      <formula>IF(AND(NOT(ISBLANK($I20)),NOW()&gt;$I20,OR($O20="On-going",$O20="New")),TRUE,FALSE)</formula>
    </cfRule>
  </conditionalFormatting>
  <conditionalFormatting sqref="H23">
    <cfRule type="expression" dxfId="60" priority="77">
      <formula>IF(AND(NOT(ISBLANK($I23)),NOW()&gt;$I23,OR($O23="On-going",$O23="New")),TRUE,FALSE)</formula>
    </cfRule>
  </conditionalFormatting>
  <conditionalFormatting sqref="I19">
    <cfRule type="expression" dxfId="59" priority="76">
      <formula>IF(AND(NOT(ISBLANK($I19)),NOW()&gt;$I19,OR($O19="On-going",$O19="New")),TRUE,FALSE)</formula>
    </cfRule>
  </conditionalFormatting>
  <conditionalFormatting sqref="I20">
    <cfRule type="expression" dxfId="58" priority="75">
      <formula>IF(AND(NOT(ISBLANK($I20)),NOW()&gt;$I20,OR($O20="On-going",$O20="New")),TRUE,FALSE)</formula>
    </cfRule>
  </conditionalFormatting>
  <conditionalFormatting sqref="I23">
    <cfRule type="expression" dxfId="57" priority="74">
      <formula>IF(AND(NOT(ISBLANK($I23)),NOW()&gt;$I23,OR($O23="On-going",$O23="New")),TRUE,FALSE)</formula>
    </cfRule>
  </conditionalFormatting>
  <conditionalFormatting sqref="D24:E24">
    <cfRule type="expression" dxfId="56" priority="72">
      <formula>IF(AND(NOT(ISBLANK($I24)),NOW()&gt;$I24,OR($O24="On-going",$O24="New")),TRUE,FALSE)</formula>
    </cfRule>
  </conditionalFormatting>
  <conditionalFormatting sqref="E25">
    <cfRule type="expression" dxfId="55" priority="71">
      <formula>IF(AND(NOT(ISBLANK($I25)),NOW()&gt;$I25,OR($O25="On-going",$O25="New")),TRUE,FALSE)</formula>
    </cfRule>
  </conditionalFormatting>
  <conditionalFormatting sqref="D25">
    <cfRule type="expression" dxfId="54" priority="70">
      <formula>IF(AND(NOT(ISBLANK($I25)),NOW()&gt;$I25,OR($O25="On-going",$O25="New")),TRUE,FALSE)</formula>
    </cfRule>
  </conditionalFormatting>
  <conditionalFormatting sqref="I25">
    <cfRule type="expression" dxfId="53" priority="68">
      <formula>IF(AND(NOT(ISBLANK($I25)),NOW()&gt;$I25,OR($O25="On-going",$O25="New")),TRUE,FALSE)</formula>
    </cfRule>
  </conditionalFormatting>
  <conditionalFormatting sqref="H25">
    <cfRule type="expression" dxfId="52" priority="69">
      <formula>IF(AND(NOT(ISBLANK($I25)),NOW()&gt;$I25,OR($O25="On-going",$O25="New")),TRUE,FALSE)</formula>
    </cfRule>
  </conditionalFormatting>
  <conditionalFormatting sqref="Q25">
    <cfRule type="expression" dxfId="51" priority="67">
      <formula>IF(AND(NOT(ISBLANK($I25)),NOW()&gt;$I25,OR($O25="On-going",$O25="New")),TRUE,FALSE)</formula>
    </cfRule>
  </conditionalFormatting>
  <conditionalFormatting sqref="D27">
    <cfRule type="expression" dxfId="50" priority="65">
      <formula>IF(AND(NOT(ISBLANK(#REF!)),NOW()&gt;#REF!,OR(#REF!="On-going",#REF!="New")),TRUE,FALSE)</formula>
    </cfRule>
  </conditionalFormatting>
  <conditionalFormatting sqref="A27 D27 F27:G27 F33:S33 F32:G32 J27:S27 F34:G34 J34:P34 K32:S32 R34:S34">
    <cfRule type="expression" dxfId="49" priority="66">
      <formula>IF(AND(NOT(ISBLANK($I27)),NOW()&gt;$I27,OR($O27="On-going",$O27="New")),TRUE,FALSE)</formula>
    </cfRule>
  </conditionalFormatting>
  <conditionalFormatting sqref="C27">
    <cfRule type="expression" dxfId="48" priority="64">
      <formula>IF(AND(NOT(ISBLANK($I27)),NOW()&gt;$I27,OR($O27="On-going",$O27="New")),TRUE,FALSE)</formula>
    </cfRule>
  </conditionalFormatting>
  <conditionalFormatting sqref="B27">
    <cfRule type="expression" dxfId="47" priority="63">
      <formula>IF(AND(NOT(ISBLANK($I27)),NOW()&gt;$I27,OR($O27="On-going",$O27="New")),TRUE,FALSE)</formula>
    </cfRule>
  </conditionalFormatting>
  <conditionalFormatting sqref="D32">
    <cfRule type="expression" dxfId="46" priority="59">
      <formula>IF(AND(NOT(ISBLANK($I32)),NOW()&gt;$I32,OR($O32="On-going",$O32="New")),TRUE,FALSE)</formula>
    </cfRule>
  </conditionalFormatting>
  <conditionalFormatting sqref="E27">
    <cfRule type="expression" dxfId="45" priority="61">
      <formula>IF(AND(NOT(ISBLANK($I27)),NOW()&gt;$I27,OR($O27="On-going",$O27="New")),TRUE,FALSE)</formula>
    </cfRule>
  </conditionalFormatting>
  <conditionalFormatting sqref="D31:E31">
    <cfRule type="expression" dxfId="44" priority="60">
      <formula>IF(AND(NOT(ISBLANK($I31)),NOW()&gt;$I31,OR($O31="On-going",$O31="New")),TRUE,FALSE)</formula>
    </cfRule>
  </conditionalFormatting>
  <conditionalFormatting sqref="H27">
    <cfRule type="expression" dxfId="43" priority="57">
      <formula>IF(AND(NOT(ISBLANK($I27)),NOW()&gt;$I27,OR($O27="On-going",$O27="New")),TRUE,FALSE)</formula>
    </cfRule>
  </conditionalFormatting>
  <conditionalFormatting sqref="D34">
    <cfRule type="expression" dxfId="42" priority="49">
      <formula>IF(AND(NOT(ISBLANK($I34)),NOW()&gt;$I34,OR($O34="On-going",$O34="New")),TRUE,FALSE)</formula>
    </cfRule>
  </conditionalFormatting>
  <conditionalFormatting sqref="I27">
    <cfRule type="expression" dxfId="41" priority="54">
      <formula>IF(AND(NOT(ISBLANK($I27)),NOW()&gt;$I27,OR($O27="On-going",$O27="New")),TRUE,FALSE)</formula>
    </cfRule>
  </conditionalFormatting>
  <conditionalFormatting sqref="I32">
    <cfRule type="expression" dxfId="40" priority="52">
      <formula>IF(AND(NOT(ISBLANK($I32)),NOW()&gt;$I32,OR($O32="On-going",$O32="New")),TRUE,FALSE)</formula>
    </cfRule>
  </conditionalFormatting>
  <conditionalFormatting sqref="D33:E33">
    <cfRule type="expression" dxfId="39" priority="51">
      <formula>IF(AND(NOT(ISBLANK($I33)),NOW()&gt;$I33,OR($O33="On-going",$O33="New")),TRUE,FALSE)</formula>
    </cfRule>
  </conditionalFormatting>
  <conditionalFormatting sqref="E34">
    <cfRule type="expression" dxfId="38" priority="50">
      <formula>IF(AND(NOT(ISBLANK($I34)),NOW()&gt;$I34,OR($O34="On-going",$O34="New")),TRUE,FALSE)</formula>
    </cfRule>
  </conditionalFormatting>
  <conditionalFormatting sqref="Q34">
    <cfRule type="expression" dxfId="37" priority="46">
      <formula>IF(AND(NOT(ISBLANK($I34)),NOW()&gt;$I34,OR($O34="On-going",$O34="New")),TRUE,FALSE)</formula>
    </cfRule>
  </conditionalFormatting>
  <conditionalFormatting sqref="A28:B29 J28:S28 F28:G28 D28:E29 F29:R29">
    <cfRule type="expression" dxfId="36" priority="39">
      <formula>IF(AND(NOT(ISBLANK($I28)),NOW()&gt;$I28,OR($O28="On-going",$O28="New")),TRUE,FALSE)</formula>
    </cfRule>
  </conditionalFormatting>
  <conditionalFormatting sqref="A30:B30 J30:R30 D30:G30">
    <cfRule type="expression" dxfId="35" priority="42">
      <formula>IF(AND(NOT(ISBLANK($I30)),NOW()&gt;$I30,OR($O30="On-going",$O30="New")),TRUE,FALSE)</formula>
    </cfRule>
  </conditionalFormatting>
  <conditionalFormatting sqref="H30">
    <cfRule type="expression" dxfId="34" priority="41">
      <formula>IF(AND(NOT(ISBLANK($I30)),NOW()&gt;$I30,OR($O30="On-going",$O30="New")),TRUE,FALSE)</formula>
    </cfRule>
  </conditionalFormatting>
  <conditionalFormatting sqref="H28">
    <cfRule type="expression" dxfId="33" priority="36">
      <formula>IF(AND(NOT(ISBLANK($I28)),NOW()&gt;$I28,OR($O28="On-going",$O28="New")),TRUE,FALSE)</formula>
    </cfRule>
  </conditionalFormatting>
  <conditionalFormatting sqref="I28">
    <cfRule type="expression" dxfId="32" priority="35">
      <formula>IF(AND(NOT(ISBLANK($I28)),NOW()&gt;$I28,OR($O28="On-going",$O28="New")),TRUE,FALSE)</formula>
    </cfRule>
  </conditionalFormatting>
  <conditionalFormatting sqref="H28">
    <cfRule type="expression" dxfId="31" priority="34">
      <formula>IF(AND(NOT(ISBLANK($I28)),NOW()&gt;$I28,OR($O28="On-going",$O28="New")),TRUE,FALSE)</formula>
    </cfRule>
  </conditionalFormatting>
  <conditionalFormatting sqref="I28">
    <cfRule type="expression" dxfId="30" priority="33">
      <formula>IF(AND(NOT(ISBLANK($I28)),NOW()&gt;$I28,OR($O28="On-going",$O28="New")),TRUE,FALSE)</formula>
    </cfRule>
  </conditionalFormatting>
  <conditionalFormatting sqref="H29">
    <cfRule type="expression" dxfId="29" priority="32">
      <formula>IF(AND(NOT(ISBLANK($I29)),NOW()&gt;$I29,OR($O29="On-going",$O29="New")),TRUE,FALSE)</formula>
    </cfRule>
  </conditionalFormatting>
  <conditionalFormatting sqref="I29">
    <cfRule type="expression" dxfId="28" priority="31">
      <formula>IF(AND(NOT(ISBLANK($I29)),NOW()&gt;$I29,OR($O29="On-going",$O29="New")),TRUE,FALSE)</formula>
    </cfRule>
  </conditionalFormatting>
  <conditionalFormatting sqref="H20">
    <cfRule type="expression" dxfId="27" priority="30">
      <formula>IF(AND(NOT(ISBLANK($I20)),NOW()&gt;$I20,OR($O20="On-going",$O20="New")),TRUE,FALSE)</formula>
    </cfRule>
  </conditionalFormatting>
  <conditionalFormatting sqref="H21">
    <cfRule type="expression" dxfId="26" priority="29">
      <formula>IF(AND(NOT(ISBLANK($I21)),NOW()&gt;$I21,OR($O21="On-going",$O21="New")),TRUE,FALSE)</formula>
    </cfRule>
  </conditionalFormatting>
  <conditionalFormatting sqref="I20">
    <cfRule type="expression" dxfId="25" priority="28">
      <formula>IF(AND(NOT(ISBLANK($I20)),NOW()&gt;$I20,OR($O20="On-going",$O20="New")),TRUE,FALSE)</formula>
    </cfRule>
  </conditionalFormatting>
  <conditionalFormatting sqref="I21">
    <cfRule type="expression" dxfId="24" priority="27">
      <formula>IF(AND(NOT(ISBLANK($I21)),NOW()&gt;$I21,OR($O21="On-going",$O21="New")),TRUE,FALSE)</formula>
    </cfRule>
  </conditionalFormatting>
  <conditionalFormatting sqref="I30">
    <cfRule type="expression" dxfId="23" priority="24">
      <formula>IF(AND(NOT(ISBLANK($I30)),NOW()&gt;$I30,OR($O30="On-going",$O30="New")),TRUE,FALSE)</formula>
    </cfRule>
  </conditionalFormatting>
  <conditionalFormatting sqref="H32">
    <cfRule type="expression" dxfId="22" priority="23">
      <formula>IF(AND(NOT(ISBLANK($I32)),NOW()&gt;$I32,OR($O32="On-going",$O32="New")),TRUE,FALSE)</formula>
    </cfRule>
  </conditionalFormatting>
  <conditionalFormatting sqref="I34">
    <cfRule type="expression" dxfId="21" priority="22">
      <formula>IF(AND(NOT(ISBLANK($I34)),NOW()&gt;$I34,OR($O34="On-going",$O34="New")),TRUE,FALSE)</formula>
    </cfRule>
  </conditionalFormatting>
  <conditionalFormatting sqref="J8:J9">
    <cfRule type="expression" dxfId="20" priority="21">
      <formula>IF(AND(NOT(ISBLANK($I8)),NOW()&gt;$I8,OR($O8="On-going",$O8="New")),TRUE,FALSE)</formula>
    </cfRule>
  </conditionalFormatting>
  <conditionalFormatting sqref="J17">
    <cfRule type="expression" dxfId="19" priority="20">
      <formula>IF(AND(NOT(ISBLANK($I17)),NOW()&gt;$I17,OR($O17="On-going",$O17="New")),TRUE,FALSE)</formula>
    </cfRule>
  </conditionalFormatting>
  <conditionalFormatting sqref="J24 J20:J22">
    <cfRule type="expression" dxfId="18" priority="19">
      <formula>IF(AND(NOT(ISBLANK($I20)),NOW()&gt;$I20,OR($O20="On-going",$O20="New")),TRUE,FALSE)</formula>
    </cfRule>
  </conditionalFormatting>
  <conditionalFormatting sqref="J25">
    <cfRule type="expression" dxfId="17" priority="18">
      <formula>IF(AND(NOT(ISBLANK($I25)),NOW()&gt;$I25,OR($O25="On-going",$O25="New")),TRUE,FALSE)</formula>
    </cfRule>
  </conditionalFormatting>
  <conditionalFormatting sqref="J23">
    <cfRule type="expression" dxfId="16" priority="17">
      <formula>IF(AND(NOT(ISBLANK($I23)),NOW()&gt;$I23,OR($O23="On-going",$O23="New")),TRUE,FALSE)</formula>
    </cfRule>
  </conditionalFormatting>
  <conditionalFormatting sqref="J32">
    <cfRule type="expression" dxfId="15" priority="16">
      <formula>IF(AND(NOT(ISBLANK($I32)),NOW()&gt;$I32,OR($O32="On-going",$O32="New")),TRUE,FALSE)</formula>
    </cfRule>
  </conditionalFormatting>
  <conditionalFormatting sqref="S5">
    <cfRule type="expression" dxfId="14" priority="15">
      <formula>IF(AND(NOT(ISBLANK($I5)),NOW()&gt;$I5,OR($O5="On-going",$O5="New")),TRUE,FALSE)</formula>
    </cfRule>
  </conditionalFormatting>
  <conditionalFormatting sqref="Q8">
    <cfRule type="expression" dxfId="13" priority="14">
      <formula>IF(AND(NOT(ISBLANK($I8)),NOW()&gt;$I8,OR($O8="On-going",$O8="New")),TRUE,FALSE)</formula>
    </cfRule>
  </conditionalFormatting>
  <conditionalFormatting sqref="Q28">
    <cfRule type="expression" dxfId="12" priority="12">
      <formula>IF(AND(NOT(ISBLANK($I28)),NOW()&gt;$I28,OR($O28="On-going",$O28="New")),TRUE,FALSE)</formula>
    </cfRule>
  </conditionalFormatting>
  <conditionalFormatting sqref="Q31">
    <cfRule type="expression" dxfId="11" priority="11">
      <formula>IF(AND(NOT(ISBLANK($I31)),NOW()&gt;$I31,OR($O31="On-going",$O31="New")),TRUE,FALSE)</formula>
    </cfRule>
  </conditionalFormatting>
  <conditionalFormatting sqref="Q31">
    <cfRule type="expression" dxfId="10" priority="10">
      <formula>IF(AND(NOT(ISBLANK($I31)),NOW()&gt;$I31,OR($O31="On-going",$O31="New")),TRUE,FALSE)</formula>
    </cfRule>
  </conditionalFormatting>
  <conditionalFormatting sqref="Q29">
    <cfRule type="expression" dxfId="9" priority="9">
      <formula>IF(AND(NOT(ISBLANK($I29)),NOW()&gt;$I29,OR($O29="On-going",$O29="New")),TRUE,FALSE)</formula>
    </cfRule>
  </conditionalFormatting>
  <conditionalFormatting sqref="Q30">
    <cfRule type="expression" dxfId="8" priority="8">
      <formula>IF(AND(NOT(ISBLANK($I30)),NOW()&gt;$I30,OR($O30="On-going",$O30="New")),TRUE,FALSE)</formula>
    </cfRule>
  </conditionalFormatting>
  <conditionalFormatting sqref="S29">
    <cfRule type="expression" dxfId="7" priority="6">
      <formula>IF(AND(NOT(ISBLANK($I29)),NOW()&gt;$I29,OR($O29="On-going",$O29="New")),TRUE,FALSE)</formula>
    </cfRule>
  </conditionalFormatting>
  <conditionalFormatting sqref="S30">
    <cfRule type="expression" dxfId="6" priority="7">
      <formula>IF(AND(NOT(ISBLANK($I30)),NOW()&gt;$I30,OR($O30="On-going",$O30="New")),TRUE,FALSE)</formula>
    </cfRule>
  </conditionalFormatting>
  <conditionalFormatting sqref="S29">
    <cfRule type="expression" dxfId="5" priority="5">
      <formula>IF(AND(NOT(ISBLANK($I29)),NOW()&gt;$I29,OR($O29="On-going",$O29="New")),TRUE,FALSE)</formula>
    </cfRule>
  </conditionalFormatting>
  <conditionalFormatting sqref="S30">
    <cfRule type="expression" dxfId="4" priority="4">
      <formula>IF(AND(NOT(ISBLANK($I30)),NOW()&gt;$I30,OR($O30="On-going",$O30="New")),TRUE,FALSE)</formula>
    </cfRule>
  </conditionalFormatting>
  <conditionalFormatting sqref="S14:S15">
    <cfRule type="expression" dxfId="3" priority="3">
      <formula>IF(AND(NOT(ISBLANK($I14)),NOW()&gt;$I14,OR($O14="On-going",$O14="New")),TRUE,FALSE)</formula>
    </cfRule>
  </conditionalFormatting>
  <conditionalFormatting sqref="S17">
    <cfRule type="expression" dxfId="2" priority="2">
      <formula>IF(AND(NOT(ISBLANK($I17)),NOW()&gt;$I17,OR($O17="On-going",$O17="New")),TRUE,FALSE)</formula>
    </cfRule>
  </conditionalFormatting>
  <conditionalFormatting sqref="S16">
    <cfRule type="expression" dxfId="1" priority="1">
      <formula>IF(AND(NOT(ISBLANK($I16)),NOW()&gt;$I16,OR($O16="On-going",$O16="New")),TRUE,FALSE)</formula>
    </cfRule>
  </conditionalFormatting>
  <dataValidations count="2">
    <dataValidation type="list" allowBlank="1" showInputMessage="1" showErrorMessage="1" sqref="O3">
      <formula1>"On-going, Reviewing, Reworking, Pending, Closed, Transferred, New, Cancel"</formula1>
    </dataValidation>
    <dataValidation type="list" allowBlank="1" showInputMessage="1" showErrorMessage="1" sqref="O4:O34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F1:G1 F35:G1048576</xm:sqref>
        </x14:dataValidation>
        <x14:dataValidation type="list" allowBlank="1" showInputMessage="1" showErrorMessage="1">
          <x14:formula1>
            <xm:f>[1]Resource!#REF!</xm:f>
          </x14:formula1>
          <xm:sqref>F2:G2</xm:sqref>
        </x14:dataValidation>
        <x14:dataValidation type="list" allowBlank="1" showInputMessage="1" showErrorMessage="1">
          <x14:formula1>
            <xm:f>Resource!$B$2:$B$5</xm:f>
          </x14:formula1>
          <xm:sqref>F3:G34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tabSelected="1"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Track'!$G$10:$G$921,Resource!B2)</f>
        <v>0</v>
      </c>
      <c r="D2" s="1">
        <f>SUMIF('Weekly Track'!$G$10:$G$921,Resource!B2,'Weekly Track'!$J$10:$J$921)</f>
        <v>0</v>
      </c>
    </row>
    <row r="3" spans="1:4">
      <c r="A3" s="1">
        <v>2</v>
      </c>
      <c r="B3" s="1" t="s">
        <v>81</v>
      </c>
      <c r="C3" s="1">
        <f>COUNTIF('Weekly Track'!$G$10:$G$921,Resource!B3)</f>
        <v>0</v>
      </c>
      <c r="D3" s="1">
        <f>SUMIF('Weekly Track'!$G$10:$G$921,Resource!B3,'Weekly Track'!$J$10:$J$921)</f>
        <v>0</v>
      </c>
    </row>
    <row r="4" spans="1:4">
      <c r="A4" s="1">
        <v>3</v>
      </c>
      <c r="B4" s="66"/>
      <c r="C4" s="1"/>
      <c r="D4" s="1"/>
    </row>
    <row r="5" spans="1:4">
      <c r="A5" s="1">
        <v>4</v>
      </c>
      <c r="B5" s="66"/>
      <c r="C5" s="1"/>
      <c r="D5" s="1"/>
    </row>
  </sheetData>
  <customSheetViews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4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6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7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8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9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2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13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17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18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EF4C86B4-137F-4865-AAA8-DFA18E73126C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6ABFDB73-A4FC-493C-A504-1276E731333B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75</v>
      </c>
    </row>
    <row r="3" spans="2:2">
      <c r="B3" t="s">
        <v>73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Weekly Track</vt:lpstr>
      <vt:lpstr>Resource</vt:lpstr>
      <vt:lpstr>Holidays</vt:lpstr>
      <vt:lpstr>HTML.CSS ex</vt:lpstr>
      <vt:lpstr>React 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2020-09-29T06:12:56Z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